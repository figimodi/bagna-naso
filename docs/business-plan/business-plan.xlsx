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gimi" sheetId="1" r:id="rId5"/>
    <sheet state="visible" name="Riepilogo" sheetId="2" r:id="rId6"/>
    <sheet state="visible" name="Mercato" sheetId="3" r:id="rId7"/>
    <sheet state="visible" name="Normativa e fisco" sheetId="4" r:id="rId8"/>
    <sheet state="visible" name="Parametri" sheetId="5" r:id="rId9"/>
    <sheet state="visible" name="Cadenza produzione" sheetId="6" r:id="rId10"/>
    <sheet state="visible" name="Impianto e costi" sheetId="7" r:id="rId11"/>
    <sheet state="visible" name="Materie prime" sheetId="8" r:id="rId12"/>
    <sheet state="visible" name="Business plan" sheetId="9" r:id="rId13"/>
    <sheet state="visible" name="Break-even" sheetId="10" r:id="rId14"/>
    <sheet state="visible" name="Clienti potenziali" sheetId="11" r:id="rId15"/>
    <sheet state="visible" name="Cronoprogramma" sheetId="12" r:id="rId16"/>
    <sheet state="visible" name="Fonti" sheetId="13" r:id="rId17"/>
    <sheet state="visible" name="Checklist locale" sheetId="14" r:id="rId18"/>
  </sheets>
  <definedNames/>
  <calcPr/>
</workbook>
</file>

<file path=xl/sharedStrings.xml><?xml version="1.0" encoding="utf-8"?>
<sst xmlns="http://schemas.openxmlformats.org/spreadsheetml/2006/main" count="1771" uniqueCount="1256">
  <si>
    <t>Impianto birrificio: elenco completo, costi e business plan</t>
  </si>
  <si>
    <t>Analisi di mercato – birra artigianale in Italia</t>
  </si>
  <si>
    <t>Normativa italiana e fiscalità – adempimenti per aprire un birrificio</t>
  </si>
  <si>
    <t>Dati da Assobirra Annual Report 2025, Unionbirrai e fonti di settore citate in Fonti. Prezzi: indicativi.</t>
  </si>
  <si>
    <t>Sintesi informativa basata su fonti pubbliche citate in Fonti. Non è consulenza legale/fiscale: verificare con commercialista, SUAP, ASL e ADM.</t>
  </si>
  <si>
    <t>Indicatore</t>
  </si>
  <si>
    <t>Adempimento</t>
  </si>
  <si>
    <t>Valore</t>
  </si>
  <si>
    <t>Ente</t>
  </si>
  <si>
    <t>Unità</t>
  </si>
  <si>
    <t>Fonte / nota</t>
  </si>
  <si>
    <t>Cosa prevede</t>
  </si>
  <si>
    <t>Tempi indicativi</t>
  </si>
  <si>
    <t>Costo stimato (€)</t>
  </si>
  <si>
    <t>Note e verifiche</t>
  </si>
  <si>
    <t>Consumi di birra in Italia 2025</t>
  </si>
  <si>
    <t>Partita IVA e codice ATECO</t>
  </si>
  <si>
    <t>Agenzia delle Entrate</t>
  </si>
  <si>
    <t>Apertura P.IVA con ATECO 11.05.00 (Produzione di birra); scelta ditta individuale/SRL/SAS</t>
  </si>
  <si>
    <t>Pochi giorni</t>
  </si>
  <si>
    <t>0–300 (+ notaio per SRL)</t>
  </si>
  <si>
    <t>Prima di ogni altra pratica</t>
  </si>
  <si>
    <t>Iscrizione al Registro Imprese e INPS</t>
  </si>
  <si>
    <t>milioni hl</t>
  </si>
  <si>
    <t>Camera di Commercio / INPS</t>
  </si>
  <si>
    <t>ComUnica telematica; iscrizione alla gestione artigiani/commercianti</t>
  </si>
  <si>
    <t>≈100–300</t>
  </si>
  <si>
    <t>Contributi INPS minimi a carico del titolare</t>
  </si>
  <si>
    <t>Assobirra Annual Report 2025 (−2,5% sul 2024)</t>
  </si>
  <si>
    <t>SCIA di avvio attività</t>
  </si>
  <si>
    <t>SUAP del Comune</t>
  </si>
  <si>
    <t>Segnalazione certificata di inizio attività produttiva (e di vendita al dettaglio se prevista)</t>
  </si>
  <si>
    <t>Immediata dopo la presentazione; verifiche successive</t>
  </si>
  <si>
    <t>Produzione di birra in Italia 2025</t>
  </si>
  <si>
    <t>≈100–500</t>
  </si>
  <si>
    <t>Verificare destinazione d'uso e agibilità del locale</t>
  </si>
  <si>
    <t>Cosa contiene</t>
  </si>
  <si>
    <t>Assobirra (−2,5% sul 2024)</t>
  </si>
  <si>
    <t>Notifica sanitaria / registrazione stabilimento</t>
  </si>
  <si>
    <t>ASL</t>
  </si>
  <si>
    <t>Registrazione dello stabilimento alimentare (Reg. CE 852/2004); sopralluogo</t>
  </si>
  <si>
    <t>Consumo pro capite 2024</t>
  </si>
  <si>
    <t>1–3 mesi (La Casetta Craft Beer Crew)</t>
  </si>
  <si>
    <t>500–2.000</t>
  </si>
  <si>
    <t>L/anno</t>
  </si>
  <si>
    <t>Assobirra Annual Report 2024</t>
  </si>
  <si>
    <t>Locale con pavimenti/pareti lavabili, scarichi, spogliatoio e servizi igienici</t>
  </si>
  <si>
    <t>Riepilogo</t>
  </si>
  <si>
    <t>Piano HACCP e tracciabilità</t>
  </si>
  <si>
    <t>Birrifici artigianali attivi 2025</t>
  </si>
  <si>
    <t>ASL / consulente</t>
  </si>
  <si>
    <t>Autocontrollo (HACCP) e tracciabilità di materie prime e lotti (Reg. CE 178/2002)</t>
  </si>
  <si>
    <t>Impianto scelto: investimento, capacità, ricavi, utile, payback, punto di pareggio.</t>
  </si>
  <si>
    <t>Prima dell'avvio</t>
  </si>
  <si>
    <t>≈900</t>
  </si>
  <si>
    <t>Registro lotti, pulizie, temperature</t>
  </si>
  <si>
    <t>Mercato</t>
  </si>
  <si>
    <t>Etichettatura</t>
  </si>
  <si>
    <t>Dati Assobirra 2025, prezzi di riferimento, SWOT.</t>
  </si>
  <si>
    <t>Reg. UE 1169/2011</t>
  </si>
  <si>
    <t>Denominazione, volume, titolo alcolometrico, lotto, TMC, indicazione degli allergeni, dati dell'operatore, ecc.</t>
  </si>
  <si>
    <t>Prima della vendita</t>
  </si>
  <si>
    <t>n</t>
  </si>
  <si>
    <t>Grafica nei costi di avvio</t>
  </si>
  <si>
    <t>Assobirra: 1.008 (1.007 nel 2024)</t>
  </si>
  <si>
    <t>Normativa e fisco</t>
  </si>
  <si>
    <t>Verificare con un consulente quali indicazioni sono obbligatorie per le bevande alcoliche</t>
  </si>
  <si>
    <t>Autorizzazioni (SUAP, ASL, ADM), accise, regime fiscale.</t>
  </si>
  <si>
    <t>Licenza fiscale / deposito fiscale</t>
  </si>
  <si>
    <t>Produzione artigianale 2025</t>
  </si>
  <si>
    <t>Agenzia delle Dogane e dei Monopoli (ADM)</t>
  </si>
  <si>
    <t>Parametri</t>
  </si>
  <si>
    <t>hl</t>
  </si>
  <si>
    <t>Assobirra (480.000 nel 2024)</t>
  </si>
  <si>
    <t>Tutte le ipotesi (modificabili, celle blu), compresi i dati del mutuo (sezione 8).</t>
  </si>
  <si>
    <t>Autorizzazione come deposito fiscale/microbirrificio, codice accisa, verifica tecnica degli impianti, registri di carico e scarico, dichiarazioni periodiche</t>
  </si>
  <si>
    <t>Alcuni mesi</t>
  </si>
  <si>
    <t>1.000–2.000 (La Casetta)</t>
  </si>
  <si>
    <t>Quota di mercato artigianale (volume) 2025</t>
  </si>
  <si>
    <t>La cauzione è calcolata da ADM sulla capacità dei serbatoi e sul prodotto che si intende detenere in sospensione di accisa</t>
  </si>
  <si>
    <t>Impianto e costi</t>
  </si>
  <si>
    <t>Accisa sulla birra</t>
  </si>
  <si>
    <t>Elenco completo di macchinari, locale e avvio, con costo di ogni voce (impianto scelto).</t>
  </si>
  <si>
    <t>ADM</t>
  </si>
  <si>
    <t>Materie prime</t>
  </si>
  <si>
    <t>€2,98 per ettolitro e per grado Plato nel 2026–2027; si paga all'immissione in consumo</t>
  </si>
  <si>
    <t>Ricette tipo, consumi e costo per ettolitro e per cotta.</t>
  </si>
  <si>
    <t>Mensile (dichiarazioni)</t>
  </si>
  <si>
    <t>Calcolata nel modello</t>
  </si>
  <si>
    <t>%</t>
  </si>
  <si>
    <t>Riduzione per microbirrifici ≤10.000 hl: 40% o 50% a seconda della fonte (vedi Parametri); semplificazioni per i piccolissimi</t>
  </si>
  <si>
    <t>Business plan</t>
  </si>
  <si>
    <t>Assobirra (2,3% nel 2024); oltre il 20% in valore (businessonline.it)</t>
  </si>
  <si>
    <t>Definizione di birra artigianale</t>
  </si>
  <si>
    <t>Business plan a 15 anni dell'impianto scelto, senza mutuo (righe 4–58) e con mutuo (righe 60–79).</t>
  </si>
  <si>
    <t>L. 154/2016 (e decreti attuativi)</t>
  </si>
  <si>
    <t>Piccolo birrificio indipendente, ≤200.000 hl/anno, birra non pastorizzata né microfiltrata</t>
  </si>
  <si>
    <t>Cadenza produzione</t>
  </si>
  <si>
    <t>Segmento analcolico/low-alcol 2025</t>
  </si>
  <si>
    <t>—</t>
  </si>
  <si>
    <t>Rotazione dei 3 fermentatori con una cotta a settimana e carico di lavoro.</t>
  </si>
  <si>
    <t>Rilevante per l'accisa ridotta e per la dicitura 'artigianale'</t>
  </si>
  <si>
    <t>Break-even</t>
  </si>
  <si>
    <t>Antincendio</t>
  </si>
  <si>
    <t>Litri da vendere per il pareggio e per rientrare in 5 anni.</t>
  </si>
  <si>
    <t>Vigili del Fuoco</t>
  </si>
  <si>
    <t>CPI solo se l'attività supera soglie di legge; in ogni caso estintori e valutazione dei rischi</t>
  </si>
  <si>
    <t>Cronoprogramma</t>
  </si>
  <si>
    <t>Tempi indicativi di avvio.</t>
  </si>
  <si>
    <t>Dipende</t>
  </si>
  <si>
    <t>≈600 (stima)</t>
  </si>
  <si>
    <t>Chiedere al tecnico</t>
  </si>
  <si>
    <t>Checklist locale</t>
  </si>
  <si>
    <t>Punti da verificare nel sopralluogo e voci di costo collegate.</t>
  </si>
  <si>
    <t>Sicurezza sul lavoro</t>
  </si>
  <si>
    <t>Assobirra: quota raddoppiata da 2,1% a 3,9%</t>
  </si>
  <si>
    <t>Normativa D.Lgs. 81/2008</t>
  </si>
  <si>
    <t>Fonti</t>
  </si>
  <si>
    <t>Valutazione rischi, formazione, eventuale RSPP se ci sono dipendenti</t>
  </si>
  <si>
    <t>Link alle fonti usate.</t>
  </si>
  <si>
    <t>Addetti nei birrifici artigianali 2025</t>
  </si>
  <si>
    <t>Da preventivare</t>
  </si>
  <si>
    <t>Clienti potenziali</t>
  </si>
  <si>
    <t>Valido anche per chi lavora in famiglia/ditta</t>
  </si>
  <si>
    <t>Pub, bar, ristoranti, agriturismi e altri locali nel raggio di 30 km, con priorità, stima di fusti e stato dei contatti; elenco dei birrifici concorrenti.</t>
  </si>
  <si>
    <t>Assobirra / Cronache di Birra</t>
  </si>
  <si>
    <t>Abilitazione SAB e somministrazione</t>
  </si>
  <si>
    <t>Comune</t>
  </si>
  <si>
    <t>Serve solo se si somministra (taproom/degustazione): corso SAB e licenza</t>
  </si>
  <si>
    <t>Settimane</t>
  </si>
  <si>
    <t>500–1.000</t>
  </si>
  <si>
    <t>Non inclusa nel modello</t>
  </si>
  <si>
    <t>Convenzioni</t>
  </si>
  <si>
    <t>Imballaggi e CONAI</t>
  </si>
  <si>
    <t>Produzione media per birrificio artigianale</t>
  </si>
  <si>
    <t>CONAI</t>
  </si>
  <si>
    <t>Contributo ambientale sugli imballaggi immessi sul mercato (vetro, ecc.)</t>
  </si>
  <si>
    <t>Annuale/trimestrale</t>
  </si>
  <si>
    <t>Blu</t>
  </si>
  <si>
    <t>Stima nel modello (0,005 €/bottiglia)</t>
  </si>
  <si>
    <t>Verificare l'obbligo di iscrizione e le tariffe</t>
  </si>
  <si>
    <t>Ipotesi o dati inseriti da modificare.</t>
  </si>
  <si>
    <t>Trasporto di prodotti sottoposti ad accisa</t>
  </si>
  <si>
    <t>Nero</t>
  </si>
  <si>
    <t>Formule.</t>
  </si>
  <si>
    <t>Documenti di accompagnamento per merce sotto accisa o in sospensione</t>
  </si>
  <si>
    <t>Per spedizione</t>
  </si>
  <si>
    <t>Chiedere al commercialista/ADM</t>
  </si>
  <si>
    <t>Verde</t>
  </si>
  <si>
    <t>Collegamenti ad altri fogli.</t>
  </si>
  <si>
    <t>Imposte e regime fiscale</t>
  </si>
  <si>
    <t>Situazione dichiarata (06/10/2026)</t>
  </si>
  <si>
    <t>Locale</t>
  </si>
  <si>
    <t>Di proprietà (affitto 0), 40–80 m², stato da verificare; il socio è architetto.</t>
  </si>
  <si>
    <t>Voce</t>
  </si>
  <si>
    <t>Soci e fisco</t>
  </si>
  <si>
    <t>Due soci non familiari, SRL (forfettario escluso), entrambi con un altro lavoro.</t>
  </si>
  <si>
    <t>Regime</t>
  </si>
  <si>
    <t>Compensi</t>
  </si>
  <si>
    <t>Aliquota/regola</t>
  </si>
  <si>
    <t>Nessun compenso ai soci: gli utili restano nella società e il tempo di lavoro non viene valorizzato.</t>
  </si>
  <si>
    <t>Note</t>
  </si>
  <si>
    <t>Obiettivo</t>
  </si>
  <si>
    <t>IVA</t>
  </si>
  <si>
    <t>Secondo lavoro che si autofinanzia; 20–30 ore a settimana in due. Il budget iniziale era 30.000 €, ma l'impianto scelto lo supera (vedi Riepilogo, investimento totale): per questo è previsto un mutuo.</t>
  </si>
  <si>
    <t>Tutti</t>
  </si>
  <si>
    <t>22% sulla vendita di birra (aliquota ordinaria)</t>
  </si>
  <si>
    <t>Vendite</t>
  </si>
  <si>
    <t>Acquisti con IVA detraibile solo in regime ordinario</t>
  </si>
  <si>
    <t>Fusti per eventi e feste (oggi da 2–5 al mese, obiettivo dichiarato 8–10). Il modello a regime assume i fusti e le bottiglie all'anno indicati in Parametri (oggi ≈ 17 fusti da 30 L al mese): è molto di più, da verificare con preordini ed eventi. Bottiglie a pub e bar; attrezzatura usata valutata caso per caso.</t>
  </si>
  <si>
    <t>Imposta sostitutiva</t>
  </si>
  <si>
    <t>Forfettario (ditta individuale)</t>
  </si>
  <si>
    <t>15% (5% per i primi 5 anni se requisiti); base imponibile = ricavi × coefficiente 40% − contributi INPS</t>
  </si>
  <si>
    <t>hl/anno</t>
  </si>
  <si>
    <t>Avvertenze</t>
  </si>
  <si>
    <t>Limite ricavi 85.000 € (verificare); l'IVA sugli acquisti non è detraibile; niente IRAP</t>
  </si>
  <si>
    <t>1</t>
  </si>
  <si>
    <t>Molti costi sono stime mie (colonna Tipo = S): vanno sostituiti con preventivi reali.</t>
  </si>
  <si>
    <t>IRES</t>
  </si>
  <si>
    <t>SRL</t>
  </si>
  <si>
    <t>2</t>
  </si>
  <si>
    <t>24% sull'utile</t>
  </si>
  <si>
    <t>I fermentatori UT-200 PRO sono su ordinazione: chiedere a BrewTaurus conferma di prezzo, tempi e documenti PED. Mulino, trasporto e molte voci di contorno non sono verificati.</t>
  </si>
  <si>
    <t>Calcolato: 470.000 hl ÷ 1.008. La mediana è molto più bassa: la maggior parte dei birrifici produce poche centinaia di hl.</t>
  </si>
  <si>
    <t>Più oneri amministrativi (bilancio, notaio)</t>
  </si>
  <si>
    <t>3</t>
  </si>
  <si>
    <t>Le informazioni su normativa e fisco sono sintesi di fonti pubbliche: verificare con commercialista, SUAP, ASL e ADM.</t>
  </si>
  <si>
    <t>IRAP</t>
  </si>
  <si>
    <t>4</t>
  </si>
  <si>
    <t>I risultati dipendono molto dai volumi di vendita: il modello non garantisce che i clienti ci siano.</t>
  </si>
  <si>
    <t>3,9% base (varia per regione)</t>
  </si>
  <si>
    <t>5</t>
  </si>
  <si>
    <t>Nel modello è applicata sull'EBIT come semplificazione</t>
  </si>
  <si>
    <t>Il tasso del mutuo (Parametri riga 102) è un'ipotesi mia: per piccoli importi i dati 2026 indicano tassi più alti. Sostituirlo con preventivi di banca o Confidi. Istruttoria, imposta sostitutiva e spese di gestione del mutuo non sono incluse.</t>
  </si>
  <si>
    <t>Prezzi di riferimento</t>
  </si>
  <si>
    <t>Accisa</t>
  </si>
  <si>
    <t>Min</t>
  </si>
  <si>
    <t>Max</t>
  </si>
  <si>
    <t>2,98 €/hl/°P, con riduzione per microbirrifici</t>
  </si>
  <si>
    <t>Vedi Parametri per la riduzione usata</t>
  </si>
  <si>
    <t>Fusto 20–30 L all'ingrosso Horeca (€/L)</t>
  </si>
  <si>
    <t>INPS 2026</t>
  </si>
  <si>
    <t>Artigiani (titolare e coadiuvanti)</t>
  </si>
  <si>
    <t>ilmiobusinessplan.com; softwarebusinessplan.it</t>
  </si>
  <si>
    <t>Minimale 18.808 €; contributo fisso 4.521,36 € a persona; 24% sul reddito oltre il minimale fino a 56.224 €; riduzione 35% per i forfettari su richiesta</t>
  </si>
  <si>
    <t>Circolare INPS 14/2026. Nel modello l'INPS è calcolato per ciascuna persona</t>
  </si>
  <si>
    <t>Birra alla spina nel locale (€/L)</t>
  </si>
  <si>
    <t>Due persone: familiari</t>
  </si>
  <si>
    <t>Ditta individuale + impresa familiare</t>
  </si>
  <si>
    <t>ilmiobusinessplan.com</t>
  </si>
  <si>
    <t>Se il secondo è un familiare (coniuge, parenti/affini entro i gradi di legge) può essere coadiuvante: il forfettario resta applicabile, l'imposta sostitutiva è dovuta dal titolare sull'intero reddito, il coadiuvante versa i propri contributi INPS</t>
  </si>
  <si>
    <t>Limite di 20.000 € di spese per lavoro nel forfettario (pmi.it). Verificare con commercialista</t>
  </si>
  <si>
    <t>Bottiglia artigianale in negozio specializzato, 33 cl (€)</t>
  </si>
  <si>
    <t>Due persone: non familiari</t>
  </si>
  <si>
    <t>SNC / SAS / SRL</t>
  </si>
  <si>
    <t>La Casetta Craft Beer Crew</t>
  </si>
  <si>
    <t>Il forfettario non è applicabile alle società: IRPEF sui soci (snc/sas) oppure IRES+IRAP (SRL); i soci che lavorano versano l'INPS</t>
  </si>
  <si>
    <t>Scelta: SRL, quindi nel modello regime 2 (IRES + IRAP)</t>
  </si>
  <si>
    <t>Prezzo medio al litro canale Horeca (€/L)</t>
  </si>
  <si>
    <t>SRL: adempimenti</t>
  </si>
  <si>
    <t>Notaio / Registro Imprese</t>
  </si>
  <si>
    <t>La Casetta Craft Beer Crew (retail ≈3 €/L)</t>
  </si>
  <si>
    <t>Atto costitutivo notarile, deposito annuale del bilancio, diritto annuale alla Camera di Commercio, capitale sociale minimo (verificare importo)</t>
  </si>
  <si>
    <t>Gli amministratori compensati versano alla gestione separata INPS; chiarire con il commercialista. Con un altro lavoro l'obbligo INPS artigiani può non scattare</t>
  </si>
  <si>
    <t>Fusto 20 L venduto online al consumatore, IVA inclusa (€)</t>
  </si>
  <si>
    <t>Birra Cocca Mia, Birra Flea 89 €; Birrificio Caligola 160 € (saporitipicipiemontesi.it)</t>
  </si>
  <si>
    <t>Agevolazioni e finanziamenti (controllati a ottobre 2026: da confermare con commercialista ed enti)</t>
  </si>
  <si>
    <t>Lettura del mercato</t>
  </si>
  <si>
    <t>• Autoimpiego Centro-Nord (Invitalia, under 35, fondo perduto): richiede disoccupazione/inattività o condizioni simili. Con un altro lavoro probabilmente non spetta: verificare.</t>
  </si>
  <si>
    <t>• Piemonte, Finpiemonte (L.R. 32/23 Autoimpiego): 70% a tasso zero e 30% a tasso bancario per macchinari e impianti; i requisiti sulla condizione lavorativa dei soci vanno verificati.</t>
  </si>
  <si>
    <t>• Mercato maturo e in leggero calo: consumi totali −2,5% nel 2025. La birra artigianale tiene (quota stabile ≈2,2% a volume ma oltre il 20% a valore), ma non cresce.</t>
  </si>
  <si>
    <t>• Nuova Sabatini: contributo sugli interessi, solo beni nuovi, finanziamenti da 20.000 €, durata massima 5 anni.</t>
  </si>
  <si>
    <t>• Offerta affollata: oltre 1.000 birrifici artigianali per 470.000 hl. In media meno di 500 hl a birrificio: un impianto da pochi ettolitri/anno è una nicchia, spesso integrata in un'altra attività.</t>
  </si>
  <si>
    <t>• Fondo di Garanzia PMI: garanzia fino all'80% sui finanziamenti per investimenti, gratuita per le microimprese, richiesta tramite banca o Confidi.</t>
  </si>
  <si>
    <t>• Margine: il prezzo al litro artigianale (3–5 €/L ingrosso, 6–12 €/L alla spina) è molto sopra l'industriale (circa 3 €/L al retail), ma richiede brand, qualità costante e vendita diretta.</t>
  </si>
  <si>
    <t>• Bandi camerali e credito d'imposta o ammortamenti agevolati per beni strumentali: solo con commercialista, in base al regime.</t>
  </si>
  <si>
    <t>• Segmenti in crescita: analcolico/low-alcol (≈3,9% del mercato) e prodotti locali/di territorio. Un'offerta di birre leggere e bevibili è coerente con la domanda.</t>
  </si>
  <si>
    <t>• Rischi: prezzo (concorrenza di marchi industriali e altri artigianali), costi di energia e materie prime, stagionalità, logistica e crediti verso i locali.</t>
  </si>
  <si>
    <t>• Prima di investire: mappare i locali e i concorrenti entro 50–80 km, fare assaggi e preordini, e chiedere ai primi 5–10 clienti volumi e prezzi reali.</t>
  </si>
  <si>
    <t>SWOT sintetica</t>
  </si>
  <si>
    <t>Punti di forza</t>
  </si>
  <si>
    <t>Debolezze</t>
  </si>
  <si>
    <t>Opportunità</t>
  </si>
  <si>
    <t>Minacce</t>
  </si>
  <si>
    <t>Impianto moderno BrewTaurus (acciaio, glicole, pressione); costi iniziali contenuti rispetto a un impianto da 10 hl</t>
  </si>
  <si>
    <t>Capacità limitata (circa 80 hl/anno con 3 fermentatori); investimento elevato rispetto ai ricavi: il rientro dipende dai volumi venduti</t>
  </si>
  <si>
    <t>Birre leggere/NoLo, prodotti di territorio, vendita diretta e taproom</t>
  </si>
  <si>
    <t>Mercato maturo e stagnante; concorrenza di oltre 1.000 birrifici</t>
  </si>
  <si>
    <t>Controllo totale su ricette e qualità; possibilità di scalare con altri tank</t>
  </si>
  <si>
    <t>Poco tempo disponibile: entrambi avete un altro lavoro; dipendenza da voi due</t>
  </si>
  <si>
    <t>Fidelizzazione di ristoranti e locali con rotazione fusti</t>
  </si>
  <si>
    <t>Aumento dei costi di energia e materie prime</t>
  </si>
  <si>
    <t>Accisa ridotta per microbirrifici sotto i 10.000 hl</t>
  </si>
  <si>
    <t>Pre-order e consegne non immediate; documenti PED da verificare per l'uso commerciale</t>
  </si>
  <si>
    <t>Eventi, collaborazioni con aziende agricole e hotel</t>
  </si>
  <si>
    <t>Burocrazia e tempi di autorizzazione (ASL, ADM)</t>
  </si>
  <si>
    <t>Riepilogo: impianto completo e business plan</t>
  </si>
  <si>
    <t>Impianto scelto: K220 2V + 3 UT-200 con i fusti e le bottiglie all'anno dei Parametri. Tutto collegato ai fogli di dettaglio.</t>
  </si>
  <si>
    <t>K220 2V + 3×UT-200</t>
  </si>
  <si>
    <t>Commento</t>
  </si>
  <si>
    <t>Investimento totale (con imprevisti e circolante)</t>
  </si>
  <si>
    <t>Comprende macchinari, locale, avvio e capitale circolante</t>
  </si>
  <si>
    <t xml:space="preserve">  di cui macchinari e impianti (A–E)</t>
  </si>
  <si>
    <t xml:space="preserve">  di cui avvio e autorizzazioni (F)</t>
  </si>
  <si>
    <t>Capacità produttiva (hl/anno)</t>
  </si>
  <si>
    <t>Limitata dai fermentatori, non dalla sala cottura</t>
  </si>
  <si>
    <t>Ricavi anno 3</t>
  </si>
  <si>
    <t>Ricavi a regime (anno 5)</t>
  </si>
  <si>
    <t>EBITDA a regime (margine operativo)</t>
  </si>
  <si>
    <t>Ricavi − costi variabili − costi fissi. Se negativo, i costi fissi superano il margine delle vendite</t>
  </si>
  <si>
    <t>Utile netto a regime</t>
  </si>
  <si>
    <t>Ore di lavoro a settimana in due (stima, non valorizzate)</t>
  </si>
  <si>
    <t>Voi avete 20–30 ore a settimana disponibili</t>
  </si>
  <si>
    <t>Payback senza mutuo (anni)</t>
  </si>
  <si>
    <t>'oltre 15 anni' = l'investimento non rientra nel periodo</t>
  </si>
  <si>
    <t>EBITDA a regime senza affitto</t>
  </si>
  <si>
    <t>Come la riga 11 se l'affitto è 0 (locale di proprietà)</t>
  </si>
  <si>
    <t>Payback semplice (anni) – approssimato, senza affitto</t>
  </si>
  <si>
    <t>Investimento ÷ EBITDA; ignora imposte e ramp-up</t>
  </si>
  <si>
    <t>Litri da vendere per il pareggio operativo</t>
  </si>
  <si>
    <t>…in percentuale della capacità vendibile</t>
  </si>
  <si>
    <t>Oltre 100% = pareggio oltre la capacità</t>
  </si>
  <si>
    <t>Litri da vendere per rientrare in 5 anni</t>
  </si>
  <si>
    <t>Volume venduto a regime (hl/anno)</t>
  </si>
  <si>
    <t>EBITDA a regime se l'INPS fosse dovuta (2 persone, contributo minimo)</t>
  </si>
  <si>
    <t>Da verificare con il commercialista: con un altro lavoro l'obbligo può non scattare</t>
  </si>
  <si>
    <t>Da confrontare con i fusti/mese previsti nei Parametri</t>
  </si>
  <si>
    <t>Come leggere i risultati</t>
  </si>
  <si>
    <t>• Prezzi dei macchinari letti sul sito BrewTaurus; molte voci di contorno sono stime mie (colonna Tipo = S). Una soluzione PRO (brewhouse BH-150/BH-400) richiede preventivo: i prezzi non sono pubblici.</t>
  </si>
  <si>
    <t>• Il mutuo (Parametri, sezione 8) è inserito nel Business plan dalla riga 60. Le righe 5–23 qui sopra mostrano l'attività senza mutuo; le righe 32–41 mostrano la situazione con il mutuo.</t>
  </si>
  <si>
    <t>Con mutuo (Parametri, sezione 8)</t>
  </si>
  <si>
    <t>Importo del mutuo</t>
  </si>
  <si>
    <t>Quota finanziata e importo si impostano in Parametri righe 88–89</t>
  </si>
  <si>
    <t>Capitale proprio da versare</t>
  </si>
  <si>
    <t>Investimento totale − mutuo</t>
  </si>
  <si>
    <t>Rata annua dopo il preammortamento</t>
  </si>
  <si>
    <t>Durata e tasso in Parametri righe 91–93</t>
  </si>
  <si>
    <t>Interessi totali pagati sul mutuo</t>
  </si>
  <si>
    <t>Costo del finanziamento su tutta la durata</t>
  </si>
  <si>
    <t>Copertura del debito minima</t>
  </si>
  <si>
    <t>Sotto 1,0x la gestione non basta a pagare le rate e i soci devono versare cassa. Le banche guardano di solito valori ben sopra 1 (indicativo)</t>
  </si>
  <si>
    <t>Flusso di cassa dopo le rate – anno 1</t>
  </si>
  <si>
    <t>Negativo = fabbisogno di cassa dei soci</t>
  </si>
  <si>
    <t>Flusso di cassa dopo le rate – anno 3</t>
  </si>
  <si>
    <t>Flusso di cassa dopo le rate – anno 5</t>
  </si>
  <si>
    <t>Dipende dalla durata del mutuo (Parametri riga 103): se è già finito, la rata non c'è più</t>
  </si>
  <si>
    <t>Esborso massimo cumulato dei soci (picco)</t>
  </si>
  <si>
    <t>Capitale proprio più eventuali versamenti negli anni deboli</t>
  </si>
  <si>
    <t>Payback dei soci (anni per recuperare capitale proprio e versamenti)</t>
  </si>
  <si>
    <t>Se il mutuo copre tutto, il capitale proprio è 0 e conta l'esborso di cassa nei primi anni</t>
  </si>
  <si>
    <t>Parametri e ipotesi del modello</t>
  </si>
  <si>
    <t>Blu = ipotesi modificabili; nero = formule; verde = collegamenti ad altri fogli. Tutti i prezzi sono IVA esclusa e in euro reali (senza inflazione).</t>
  </si>
  <si>
    <t>Parametro</t>
  </si>
  <si>
    <t>1. Scenari impianto (capacità produttiva)</t>
  </si>
  <si>
    <t>Nome scenario</t>
  </si>
  <si>
    <t>Impianto scelto: una cotta a settimana nel K220 2V (acqua calda separata, CIP kit manuale), 3 fermentatori UT-200 PRO (PED) a rotazione</t>
  </si>
  <si>
    <t>Volume di una cotta (netto nel fermentatore)</t>
  </si>
  <si>
    <t>L</t>
  </si>
  <si>
    <t>K220 2V: 150–190 L (scelgo 180). I UT-200 hanno 200 L effettivi</t>
  </si>
  <si>
    <t>Numero fermentatori</t>
  </si>
  <si>
    <t>Una cotta a settimana, ~2 settimane di fermentazione + maturazione/pulizia: servono 3 tank a rotazione</t>
  </si>
  <si>
    <t>Occupazione del tank per ciclo (fermentazione + maturazione + pulizia)</t>
  </si>
  <si>
    <t>giorni</t>
  </si>
  <si>
    <t>2 settimane di fermentazione + circa 1 settimana tra raffreddamento, confezionamento e CIP. Per le lager serve di più</t>
  </si>
  <si>
    <t>Utilizzo massimo dei tank nell'anno</t>
  </si>
  <si>
    <t>Stima mia: fermate, pulizie, ritardi</t>
  </si>
  <si>
    <t>Cotte a settimana (massimo)</t>
  </si>
  <si>
    <t>Una cotta a settimana (di solito nel weekend)</t>
  </si>
  <si>
    <t>Settimane di produzione all'anno</t>
  </si>
  <si>
    <t>sett.</t>
  </si>
  <si>
    <t>Esclude ferie e fermate</t>
  </si>
  <si>
    <t>Cotte/anno consentite dai tank</t>
  </si>
  <si>
    <t>Calcolo: n. tank × 365 × utilizzo ÷ giorni per ciclo</t>
  </si>
  <si>
    <t>Cotte/anno consentite dalla sala cottura</t>
  </si>
  <si>
    <t>Cotte/anno (minimo dei due limiti)</t>
  </si>
  <si>
    <t>Capacità produttiva annua</t>
  </si>
  <si>
    <t>2. Vendite</t>
  </si>
  <si>
    <t>Fusti venduti all'anno (a regime)</t>
  </si>
  <si>
    <t>fusti/anno</t>
  </si>
  <si>
    <t>Scelta vostra: al posto del mix 80/20. 200 fusti da 30 L = circa 17 al mese. L'obiettivo dichiarato oggi è 8–10 al mese (≈ 100–120 all'anno): da verificare con preordini ed eventi prima di investire. Nei primi anni si vende meno (percentuali sotto)</t>
  </si>
  <si>
    <t>Bottiglie vendute all'anno (a regime)</t>
  </si>
  <si>
    <t>bottiglie/anno</t>
  </si>
  <si>
    <t>Scelta vostra: al posto del mix 80/20. 4.550 bottiglie da 33 cl = circa 1.500 L, un quinto del volume. Il totale (fusti + bottiglie) non può superare la capacità dell'impianto: vedi il controllo più sotto</t>
  </si>
  <si>
    <t>Capacità del fusto</t>
  </si>
  <si>
    <t>Fusti inox da 30 L (scelta vostra)</t>
  </si>
  <si>
    <t>n/mese</t>
  </si>
  <si>
    <t>Calcolato: fusti all'anno ÷ 12</t>
  </si>
  <si>
    <t>Volume venduto in fusti a regime</t>
  </si>
  <si>
    <t>Fusti all'anno × capacità del fusto</t>
  </si>
  <si>
    <t>Volume venduto in bottiglia a regime</t>
  </si>
  <si>
    <t>Bottiglie all'anno × volume della bottiglia</t>
  </si>
  <si>
    <t>Volume venduto a regime (domanda)</t>
  </si>
  <si>
    <t>Fusti + bottiglie, in litri</t>
  </si>
  <si>
    <t>Quota volume venduta in fusti</t>
  </si>
  <si>
    <t>Calcolata dai volumi sopra (non è più un'ipotesi: serve per costi e ricavi)</t>
  </si>
  <si>
    <t>Quota volume venduta in bottiglia</t>
  </si>
  <si>
    <t>Calcolata</t>
  </si>
  <si>
    <t>Perdite di processo e campioni</t>
  </si>
  <si>
    <t>Stima mia: trub, linee, campionature, invenduto</t>
  </si>
  <si>
    <t>Capacità venduta all'anno (a regime)</t>
  </si>
  <si>
    <t>Capacità massima al mese (media a regime)</t>
  </si>
  <si>
    <t>L/mese</t>
  </si>
  <si>
    <t>Domanda al mese (media a regime)</t>
  </si>
  <si>
    <t>Fusti e bottiglie indicati sopra, divisi per 12</t>
  </si>
  <si>
    <t>Utilizzo della capacità a regime</t>
  </si>
  <si>
    <t>Oltre 100% = la domanda supera quello che l'impianto può produrre</t>
  </si>
  <si>
    <t>Controllo capacità</t>
  </si>
  <si>
    <t>Fusti massimi all'anno con le bottiglie indicate</t>
  </si>
  <si>
    <t>Quanti fusti entrano nella capacità, lasciando alle bottiglie il volume indicato</t>
  </si>
  <si>
    <t>Bottiglie massime all'anno con i fusti indicati</t>
  </si>
  <si>
    <t>Quante bottiglie entrano nella capacità, lasciando ai fusti il volume indicato</t>
  </si>
  <si>
    <t>Prezzo fusti (IVA esclusa, accisa inclusa)</t>
  </si>
  <si>
    <t>€/L</t>
  </si>
  <si>
    <t>Fusti per eventi e feste a privati: 89–160 € IVA inclusa per 20 L (birrifici online) ≈ 3,65–6,5 €/L senza IVA. Uso 4,00 (≈ 98 € per un fusto da 20 L, ≈ 146 € da 30 L, IVA inclusa). Pub: 3–5 €/L</t>
  </si>
  <si>
    <t>Prezzo bottiglia 33 cl (IVA esclusa, accisa inclusa)</t>
  </si>
  <si>
    <t>€/bottiglia</t>
  </si>
  <si>
    <t>Stima mia: in negozio specializzato 4–6 € a 33 cl (La Casetta Craft Beer Crew); all'ingrosso circa 2–3 €</t>
  </si>
  <si>
    <t>Volume della bottiglia</t>
  </si>
  <si>
    <t>Bottiglia da 33 cl</t>
  </si>
  <si>
    <t>Domanda raggiunta – anno 1 (% del volume a regime)</t>
  </si>
  <si>
    <t>Stima mia: i primi anni si vende meno</t>
  </si>
  <si>
    <t>Domanda raggiunta – anno 2</t>
  </si>
  <si>
    <t>Domanda raggiunta – anno 3</t>
  </si>
  <si>
    <t>Domanda raggiunta – anno 4</t>
  </si>
  <si>
    <t>Da qui una cotta a settimana</t>
  </si>
  <si>
    <t>Domanda raggiunta – anno 5 e successivi</t>
  </si>
  <si>
    <t>Gli anni 6–15 restano uguali all'anno 5</t>
  </si>
  <si>
    <t>3. Costi variabili unitari</t>
  </si>
  <si>
    <t>Materie prime (malto, luppolo, lievito, additivi) – media pesata</t>
  </si>
  <si>
    <t>€/hl</t>
  </si>
  <si>
    <t>Calcolato nel foglio Materie prime</t>
  </si>
  <si>
    <t>Detergenti e sanitizzanti</t>
  </si>
  <si>
    <t>Cadenza produttiva: una cotta a settimana con 3 fermentatori</t>
  </si>
  <si>
    <t>Stima mia: caustico, acido, sanitizzante</t>
  </si>
  <si>
    <t>Grado Plato medio ponderato</t>
  </si>
  <si>
    <t>°P</t>
  </si>
  <si>
    <t>Serve per l'accisa</t>
  </si>
  <si>
    <t>Energia elettrica per ettolitro prodotto</t>
  </si>
  <si>
    <t>kWh/hl</t>
  </si>
  <si>
    <t>Stima mia: riscaldamento acqua/mosto (~35–40), pompe, glicole; da misurare</t>
  </si>
  <si>
    <t>Impianto completo: elenco, specifiche e costi</t>
  </si>
  <si>
    <t>Prezzo energia elettrica</t>
  </si>
  <si>
    <t>Ogni cotta riempie un fermentatore; il tank resta occupato circa 3 settimane (2 di fermentazione + 1 tra raffreddamento, confezionamento e CIP).</t>
  </si>
  <si>
    <t>€/kWh</t>
  </si>
  <si>
    <t>Stima mia per utenza business; verificare il contratto</t>
  </si>
  <si>
    <t>Acqua per ettolitro di birra</t>
  </si>
  <si>
    <t>m³/hl</t>
  </si>
  <si>
    <t>Stima mia (≈6 L per litro: lavaggi inclusi)</t>
  </si>
  <si>
    <t>Costo acqua + fognatura</t>
  </si>
  <si>
    <t>€/m³</t>
  </si>
  <si>
    <t>Stima mia: varia molto per gestore</t>
  </si>
  <si>
    <t>Bottiglia vuota 33 cl</t>
  </si>
  <si>
    <t>€</t>
  </si>
  <si>
    <t>Stima mia: da verificare con i fornitori di vetro</t>
  </si>
  <si>
    <t>Tappo corona</t>
  </si>
  <si>
    <t>Impianto scelto: K220 2V + 3×UT-200 PRO. Tipo: V = prezzo letto sul sito BrewTaurus; N = non verificato sul sito; S = stima mia. Prezzi IVA esclusa salvo diversa indicazione.</t>
  </si>
  <si>
    <t>Fonte: fermentobirra.com (0,02 €)</t>
  </si>
  <si>
    <t>Etichetta</t>
  </si>
  <si>
    <t>Tank</t>
  </si>
  <si>
    <t>Fonte: fermentobirra.com (0,04 €), arrotondato</t>
  </si>
  <si>
    <t>Scatola/cartone per bottiglia</t>
  </si>
  <si>
    <t>Sett. 1</t>
  </si>
  <si>
    <t>Sett. 2</t>
  </si>
  <si>
    <t>Fonte: fermentobirra.com (0,40 € per scatola da 12), ≈0,03–0,04 €/bottiglia</t>
  </si>
  <si>
    <t>Sett. 3</t>
  </si>
  <si>
    <t>Contributo ambientale CONAI per bottiglia</t>
  </si>
  <si>
    <t>Sett. 4</t>
  </si>
  <si>
    <t>Sett. 5</t>
  </si>
  <si>
    <t>Sett. 6</t>
  </si>
  <si>
    <t>Sett. 7</t>
  </si>
  <si>
    <t>Sett. 8</t>
  </si>
  <si>
    <t>Sett. 9</t>
  </si>
  <si>
    <t>Stima mia: da verificare con CONAI</t>
  </si>
  <si>
    <t>#</t>
  </si>
  <si>
    <t>Sett. 10</t>
  </si>
  <si>
    <t>Sett. 11</t>
  </si>
  <si>
    <t>Consumabili fusti (CO2, guarnizioni)</t>
  </si>
  <si>
    <t>Sett. 12</t>
  </si>
  <si>
    <t>Stima mia</t>
  </si>
  <si>
    <t>Dettaglio / specifiche</t>
  </si>
  <si>
    <t>Tipo</t>
  </si>
  <si>
    <t>Logistica e consegne</t>
  </si>
  <si>
    <t>K220 Q.tà</t>
  </si>
  <si>
    <t>% ricavi</t>
  </si>
  <si>
    <t>Tank 1</t>
  </si>
  <si>
    <t>K220 Prezzo</t>
  </si>
  <si>
    <t>Stima mia: carburante, corrieri. Se consegnate voi i fusti il costo non sparisce (carburante, usura del mezzo): potrebbe scendere verso il 2%</t>
  </si>
  <si>
    <t>K220 Totale</t>
  </si>
  <si>
    <t>Note / link</t>
  </si>
  <si>
    <t>R</t>
  </si>
  <si>
    <t>A. Macchinari principali (BrewTaurus)</t>
  </si>
  <si>
    <t>Stima mia: da verificare con i fornitori. Il fusto PET monouso costa meno ma non è riutilizzabile</t>
  </si>
  <si>
    <t>Giri annui di un fusto (rotazione)</t>
  </si>
  <si>
    <t>Stima mia: gli eventi durano da 1 giorno a 1 settimana, quindi i fusti tornano presto; i picchi stagionali richiedono comunque margine</t>
  </si>
  <si>
    <t>4. Fisco e accise</t>
  </si>
  <si>
    <t>F</t>
  </si>
  <si>
    <t>Aliquota accisa ordinaria 2026–2027</t>
  </si>
  <si>
    <t>€/hl/°P</t>
  </si>
  <si>
    <t>Brewhouse</t>
  </si>
  <si>
    <t>Legge di Bilancio 2026 (da 2,99 a 2,98 per il 2026–27). Fonte: beverfood.com, economymagazine.it</t>
  </si>
  <si>
    <t>Riduzione per microbirrifici (≤10.000 hl/anno)</t>
  </si>
  <si>
    <t>K220 2V: mash tun + boil kettle da 225 L, 7 kW, 2 pompe MP40, counterflow chiller, batch 150–190 L. Senza HLT: lo sparge richiede acqua calda separata</t>
  </si>
  <si>
    <t>V</t>
  </si>
  <si>
    <t>Fonti discordanti: 40% (La Casetta Craft Beer Crew 2026, DM 2019) o 50% (fiscodiprossimita.it, LdB 2025). Uso 40% (prudente). Confermare con ADM</t>
  </si>
  <si>
    <t>M</t>
  </si>
  <si>
    <t>Regime fiscale (1 = forfettario ditta individuale; 2 = SRL/società ordinaria)</t>
  </si>
  <si>
    <t>1/2</t>
  </si>
  <si>
    <t>Siete 2 soci non familiari e avete scelto la SRL: forfettario non applicabile, quindi 2 = IRES + IRAP</t>
  </si>
  <si>
    <t>Coefficiente di redditività ATECO 11.05.00 (forfettario)</t>
  </si>
  <si>
    <t>Fonte: partitaiva.it (dato datato)</t>
  </si>
  <si>
    <t>Aliquota imposta sostitutiva forfettario</t>
  </si>
  <si>
    <t>Tank 2</t>
  </si>
  <si>
    <t>15% ordinaria; 5% possibile per i primi 5 anni se requisiti soddisfatti (da verificare)</t>
  </si>
  <si>
    <t>Limite ricavi forfettario</t>
  </si>
  <si>
    <t>Verificare il limite in vigore</t>
  </si>
  <si>
    <t>IRES (SRL)</t>
  </si>
  <si>
    <t>Aliquota ordinaria</t>
  </si>
  <si>
    <t>IRAP (SRL)</t>
  </si>
  <si>
    <t>Tank 3</t>
  </si>
  <si>
    <t>Aliquota base; varia per regione. Semplificazione: calcolata sull'EBIT</t>
  </si>
  <si>
    <t>Ammortamento impianti e avvio</t>
  </si>
  <si>
    <t>anni</t>
  </si>
  <si>
    <t>Ammortamento fusti</t>
  </si>
  <si>
    <t>Prezzo letto sul sito</t>
  </si>
  <si>
    <t>5. Costi fissi annui</t>
  </si>
  <si>
    <t>Affitto locale</t>
  </si>
  <si>
    <t>€/mese</t>
  </si>
  <si>
    <t>Legenda: R = cotta e riempimento (giorno 1); F = fermentazione (circa 14 giorni); M = maturazione, raffreddamento, confezionamento e CIP (circa 1 settimana).</t>
  </si>
  <si>
    <t>Il locale è di vostra proprietà (40–80 m²): affitto 0</t>
  </si>
  <si>
    <t>Utenze fisse (potenza impegnata, internet, ecc.)</t>
  </si>
  <si>
    <t>Assicurazioni (RC prodotto, incendio)</t>
  </si>
  <si>
    <t>Con 2 settimane di fermentazione un tank è libero dopo circa 3 settimane: servono 3 tank per una cotta a settimana. Con 2 soli tank non c'è margine per pulizie e ritardi.</t>
  </si>
  <si>
    <t>€/anno</t>
  </si>
  <si>
    <t>Commercialista, bilancio SRL e consulenze</t>
  </si>
  <si>
    <t>Valore scelto da voi. La mia stima di partenza era 1.500–2.000 € per una SRL con bilancio: non ho trovato tariffe verificate, chiedere 2–3 preventivi</t>
  </si>
  <si>
    <t>Persone che versano contributi INPS artigiani</t>
  </si>
  <si>
    <t>Default 0 perché entrambi avete un altro lavoro: l'obbligo può non scattare (dipende dalla prevalenza e dal tipo di compenso nella SRL). Chiedere a commercialista/INPS; mettere 2 se è dovuto. Con 0 il costo INPS è azzerato</t>
  </si>
  <si>
    <t>Reddito minimale INPS artigiani 2026</t>
  </si>
  <si>
    <t>Carico a regime</t>
  </si>
  <si>
    <t>Circolare INPS n. 14/2026 (ecnews.it, soluzionetasse.com)</t>
  </si>
  <si>
    <t>Aliquota contributiva IVS artigiani</t>
  </si>
  <si>
    <t>Come si calcola</t>
  </si>
  <si>
    <t>24% (commercianti 24,48%). Oltre il limite della prima fascia l'aliquota sale di 1 punto: non modellato</t>
  </si>
  <si>
    <t>Limite di reddito della prima fascia</t>
  </si>
  <si>
    <t>Circolare INPS n. 14/2026</t>
  </si>
  <si>
    <t>Contributo maternità annuo per persona</t>
  </si>
  <si>
    <t>0,62 €/mese</t>
  </si>
  <si>
    <t>Riduzione contributi forfettari (se richiesta)</t>
  </si>
  <si>
    <t>Il forfettario può chiedere la riduzione del 35% entro il 28 febbraio (fiscal-focus.it). Default 0 = non richiesta. Verificare col commercialista</t>
  </si>
  <si>
    <t>Fideiussione/cauzione ADM (costo annuo)</t>
  </si>
  <si>
    <t>Stima mia: la cauzione è calcolata da ADM sulla capacità dei serbatoi</t>
  </si>
  <si>
    <t>Marketing e commerciale</t>
  </si>
  <si>
    <t>Litri per cotta</t>
  </si>
  <si>
    <t>Azzerato: vendita a eventi e passaparola (voi pensate di poterlo ridurre davvero). Le campionature sono nella voce di lancio</t>
  </si>
  <si>
    <t>Manutenzione e ricambi</t>
  </si>
  <si>
    <t>% investimento</t>
  </si>
  <si>
    <t>Stima mia ridotta: macchine nuove in garanzia nei primi anni; ricambi (guarnizioni, valvole, pompe) comunque necessari</t>
  </si>
  <si>
    <t>Analisi di laboratorio</t>
  </si>
  <si>
    <t>Stima mia ridotta: non risulta un obbligo di analisi esterne annuali; dipende da HACCP e ASL</t>
  </si>
  <si>
    <t>Fermentatori</t>
  </si>
  <si>
    <t>Rifiuti (TARI), diritto camerale, abbonamenti, varie</t>
  </si>
  <si>
    <t>UT-200 PRO 200/260 L, 2,0 bar, PED Modulo H con dichiarazione di conformità per vaso, racking arm + spunding + pietra carbonatrice inclusi, camicia glicole. Servono 3 tank a rotazione per una cotta a settimana</t>
  </si>
  <si>
    <t>Personale dipendente</t>
  </si>
  <si>
    <t>Default 0: lavorate voi due, senza compenso. Modificabile</t>
  </si>
  <si>
    <t>Mesi di affitto come cauzione</t>
  </si>
  <si>
    <t>mesi</t>
  </si>
  <si>
    <t>6. Ore di lavoro (solo per il carico di lavoro, non valorizzate)</t>
  </si>
  <si>
    <t>Ore di lavoro per cotta (cotta, pulizie, travasi)</t>
  </si>
  <si>
    <t>ore</t>
  </si>
  <si>
    <t>Ore per ettolitro venduto (confezionamento, consegne, vendite)</t>
  </si>
  <si>
    <t>ore/hl</t>
  </si>
  <si>
    <t>UT-200 4.490 € letto sul sito; su ordinazione (preventivo in 2 giorni)</t>
  </si>
  <si>
    <t>Cotte all'anno (limite dei tank)</t>
  </si>
  <si>
    <t>7. Investimento</t>
  </si>
  <si>
    <t>Capitale circolante iniziale</t>
  </si>
  <si>
    <t>mesi di costi</t>
  </si>
  <si>
    <t>Mesi di costi (variabili + fissi) dell'anno 1</t>
  </si>
  <si>
    <t>Imprevisti sull'investimento</t>
  </si>
  <si>
    <t>Stima prudenziale sulle voci A–F</t>
  </si>
  <si>
    <t>Sconto medio acquistando usato</t>
  </si>
  <si>
    <t>Dai Parametri: 3 tank × 365 × utilizzo ÷ 21 giorni</t>
  </si>
  <si>
    <t>Stima mia: da verificare con annunci reali (mulino, chiller, riempitrice, pompe)</t>
  </si>
  <si>
    <t>Quota dei lavori di adeguamento del locale necessari</t>
  </si>
  <si>
    <t>100% = tutti i lavori elencati nella sezione E; il locale è da verificare (sopralluogo del socio architetto). Con 0% il locale è già pronto</t>
  </si>
  <si>
    <t>8. Finanziamento (mutuo)</t>
  </si>
  <si>
    <t>Quota dell'investimento finanziata con il mutuo</t>
  </si>
  <si>
    <t>Produzione annua a regime</t>
  </si>
  <si>
    <t>Chiller glicole</t>
  </si>
  <si>
    <t>Capacità produttiva</t>
  </si>
  <si>
    <t>Quantor Chilly 25 M-LT 2,2 kW (scelto prudenzialmente per 3 tank da 200 L)</t>
  </si>
  <si>
    <t>Prezzo letto sul sito. Voi lo comprereste usato: confermare la potenza con BrewTaurus</t>
  </si>
  <si>
    <t>Venduto a regime (domanda)</t>
  </si>
  <si>
    <t>Se l'importo fisso (riga sotto) è vuoto vale 100% = il mutuo copre tutto l'investimento (macchinari, lavori, avvio, imprevisti e circolante); con un importo fisso si ricalcola da solo. Per non avere mutuo scrivere 0%</t>
  </si>
  <si>
    <t>Importo fisso del mutuo (facoltativo)</t>
  </si>
  <si>
    <t>Da fusti e bottiglie all'anno indicati</t>
  </si>
  <si>
    <t>Se compilato, sostituisce la percentuale della riga sopra (non può superare l'investimento totale). Lasciare vuoto per usare la percentuale</t>
  </si>
  <si>
    <t>Collegamento glicole ai tank</t>
  </si>
  <si>
    <t>Tubo isolato, manifold mandata/ritorno e raccordi verso Ø31,8 mm TC dei tank</t>
  </si>
  <si>
    <t>S</t>
  </si>
  <si>
    <t>Litri venduti per cotta</t>
  </si>
  <si>
    <t>Impianto CIP</t>
  </si>
  <si>
    <t>CIP kit manuale (pompa 65 W, spray head rotante, raccordi TC): lavaggio in ricircolo con detergente e sanitizzante; l'acqua calda va preparata a parte</t>
  </si>
  <si>
    <t>CIP kit 499 € letto sul sito</t>
  </si>
  <si>
    <t>Dopo le perdite</t>
  </si>
  <si>
    <t>Calcolato: importo fisso se inserito, altrimenti percentuale × investimento totale</t>
  </si>
  <si>
    <t>Tasso d'interesse annuo nominale (TAN)</t>
  </si>
  <si>
    <t>Ipotesi mia, da sostituire con preventivi di banca/Confidi. Dati 2026: prestiti alle imprese fino a 50.000 € ≈ 8,8% (Banca d'Italia, 2° trim.); un prestito garantito dal Fondo PMI è offerto a Euribor 3 mesi (≈ 3%) + 5,75%. Il 6% è probabilmente ottimistico</t>
  </si>
  <si>
    <t>Durata dell'ammortamento (dopo il preammortamento)</t>
  </si>
  <si>
    <t>Hose Kit</t>
  </si>
  <si>
    <t>Tubo silicone alimentare alta temperatura 2 m + quick disconnect + raccordi 1.5" TC</t>
  </si>
  <si>
    <t>Rate mensili costanti (ammortamento alla francese). Minimo 1 anno</t>
  </si>
  <si>
    <t>Preammortamento (solo interessi, senza capitale)</t>
  </si>
  <si>
    <t>Il K220 ha già molti raccordi: 4 è una stima</t>
  </si>
  <si>
    <t>Periodo iniziale in cui si pagano solo gli interessi: aiuta negli anni di avvio, quando le vendite sono ancora basse. 0 = niente preammortamento</t>
  </si>
  <si>
    <t>Rata mensile dopo il preammortamento</t>
  </si>
  <si>
    <t>Controllo temperatura fermentatori</t>
  </si>
  <si>
    <t>Controller digitale + valvola glicole per ciascun tank</t>
  </si>
  <si>
    <t>Bottiglie da 33 cl per cotta</t>
  </si>
  <si>
    <t>Calcolo: rata costante PMT(tasso/12; mesi; importo)</t>
  </si>
  <si>
    <t>Stima mia (Inkbird ITC-308 WiFi costa 79 €)</t>
  </si>
  <si>
    <t>Quadro elettrico e controllo sala cottura</t>
  </si>
  <si>
    <t>Armadio IP54/65, sezionatore, magnetotermici/differenziali, SSR/contattori, PID/PLC, PT100, 24 V, pulsanti, emergenza, cablaggio (da far fare all'elettricista)</t>
  </si>
  <si>
    <t>Stima mia: da verificare se il controller è incluso nel K220 2V</t>
  </si>
  <si>
    <t>Counterflow chiller (se non incluso)</t>
  </si>
  <si>
    <t>Scambiatore mosto</t>
  </si>
  <si>
    <t>Da confrontare con il margine operativo (EBITDA) del Business plan</t>
  </si>
  <si>
    <t>Incluso nel K220 2V</t>
  </si>
  <si>
    <t>Ore di lavoro per cotta (stima)</t>
  </si>
  <si>
    <t>Serbatoio acqua calda per sparge</t>
  </si>
  <si>
    <t>Con il K220 2V manca l'HLT: serve una fonte di acqua calda separata per lo sparge</t>
  </si>
  <si>
    <t>Trasporto macchinari da Praga</t>
  </si>
  <si>
    <t>Cotta e pulizie + confezionamento, consegne e vendite</t>
  </si>
  <si>
    <t>Consegna dei macchinari (pallet) o ritiro con furgone: non incluso nei prezzi BrewTaurus. Per scaricare i tank servono carrello elevatore o gru</t>
  </si>
  <si>
    <t>Stima mia, non verificata: chiedere a BrewTaurus un preventivo con trasporto incluso e confrontarlo con il ritiro vostro (distanza circa 1.000 km)</t>
  </si>
  <si>
    <t>Ore a settimana in due (cotta ogni settimana)</t>
  </si>
  <si>
    <t>Subtotale A</t>
  </si>
  <si>
    <t>Da confrontare con 20–30 ore a settimana disponibili tra voi due</t>
  </si>
  <si>
    <t>B. Lavorazione, strumenti e magazzino</t>
  </si>
  <si>
    <t>Mulino per malto a rulli</t>
  </si>
  <si>
    <t>Macina il malto in sala cottura (necessario se compri malto intero)</t>
  </si>
  <si>
    <t>Stima mia: BrewTaurus vende mulini ma non ho letto il prezzo</t>
  </si>
  <si>
    <t>Pompa di ricambio MP-40RM</t>
  </si>
  <si>
    <t>Pompa magnetica 65 W (ricambio): non acquistata, si compra se si rompe</t>
  </si>
  <si>
    <t>Prezzo letto, a volte non disponibile</t>
  </si>
  <si>
    <t>Strumenti di controllo qualità</t>
  </si>
  <si>
    <t>Densimetro/rifrattometro, pH-metro, termometri, bilancia di precisione, vetreria</t>
  </si>
  <si>
    <t>Stima mia, versione snella: già avete qualche strumento</t>
  </si>
  <si>
    <t>Analisi di laboratorio iniziali</t>
  </si>
  <si>
    <t>Grado alcolico, estratto, microbiologia sulle prime cotte</t>
  </si>
  <si>
    <t>Stima mia, versione snella</t>
  </si>
  <si>
    <t>Trattamento acqua</t>
  </si>
  <si>
    <t>Filtri a carbone (niente addolcitore)</t>
  </si>
  <si>
    <t>Stima mia: scelta vostra; l'acqua del locale non è stata analizzata</t>
  </si>
  <si>
    <t>Scaffalature, transpallet, carrelli</t>
  </si>
  <si>
    <t>Stoccaggio malto, confezioni, vuoti</t>
  </si>
  <si>
    <t>Stima mia, versione snella (locale da 40–80 m²)</t>
  </si>
  <si>
    <t>Subtotale B</t>
  </si>
  <si>
    <t>Materie prime e ricette tipo</t>
  </si>
  <si>
    <t>Stime di consumo per stile e prezzi di acquisto. Da validare con ricette reali e preventivi dei fornitori.</t>
  </si>
  <si>
    <t>Stile</t>
  </si>
  <si>
    <t>Quota mix</t>
  </si>
  <si>
    <t>°Plato</t>
  </si>
  <si>
    <t>Malto (kg/hl)</t>
  </si>
  <si>
    <t>Prezzo malto (€/kg)</t>
  </si>
  <si>
    <t>Luppolo (g/hl)</t>
  </si>
  <si>
    <t>Prezzo luppolo (€/kg)</t>
  </si>
  <si>
    <t>Lievito (€/hl)</t>
  </si>
  <si>
    <t>Numero = min(capacità, domanda) × quota fusti ÷ capacità del fusto ÷ giri annui, almeno 10</t>
  </si>
  <si>
    <t>Additivi/sali (€/hl)</t>
  </si>
  <si>
    <t>Costo malto (€/hl)</t>
  </si>
  <si>
    <t>Costo luppolo (€/hl)</t>
  </si>
  <si>
    <t>Costo totale (€/hl)</t>
  </si>
  <si>
    <t>Pils / Blonde (leggera, bevibile)</t>
  </si>
  <si>
    <t>Prezzo del fusto = stima mia; possibile cauzione ai clienti</t>
  </si>
  <si>
    <t>Raccordi/coupler per fusti</t>
  </si>
  <si>
    <t>Testine A/S per riempimento e prelievo</t>
  </si>
  <si>
    <t>Sistema di riempimento e lavaggio fusti</t>
  </si>
  <si>
    <t>Postazione manuale con CO2 e CIP fusti</t>
  </si>
  <si>
    <t>Pale Ale / APA</t>
  </si>
  <si>
    <t>CO2: bombola, riduttore, manometri</t>
  </si>
  <si>
    <t>Bombola 10 kg + regolatore + linee</t>
  </si>
  <si>
    <t>IPA (luppolata)</t>
  </si>
  <si>
    <t>Cella frigorifera per fusti</t>
  </si>
  <si>
    <t>Stoccaggio fusti pieni a bassa temperatura, abbastanza grande da contenere i fusti in circolazione</t>
  </si>
  <si>
    <t>Voi la volete: stima mia, abbastanza grande per i fusti in circolazione (usata costerebbe meno). Non è obbligatoria: la birra può restare nei tank e i fusti si riempiono a ordine</t>
  </si>
  <si>
    <t>Subtotale C</t>
  </si>
  <si>
    <t>Media pesata</t>
  </si>
  <si>
    <t>Riempitrice a contropressione</t>
  </si>
  <si>
    <t>4 teste, riempie dal tank in pressione</t>
  </si>
  <si>
    <t>Stima mia, versione snella (valutare usato)</t>
  </si>
  <si>
    <t>Capsulatrice</t>
  </si>
  <si>
    <t>Tappi corona</t>
  </si>
  <si>
    <t>Controllo: la quota mix deve fare 100%. Il costo medio per ettolitro va confrontato con i 30–60 €/hl citati da La Casetta Craft Beer Crew (variabile secondo ingredienti).</t>
  </si>
  <si>
    <t>Etichettatrice manuale</t>
  </si>
  <si>
    <t>Etichette autoadesive applicate a mano</t>
  </si>
  <si>
    <t>Fabbisogno per una cotta dello scenario K220 (litri da Parametri)</t>
  </si>
  <si>
    <t>Risciacquatrice e casse/tavoli</t>
  </si>
  <si>
    <t>Pulizia bottiglie e movimentazione</t>
  </si>
  <si>
    <t>Litri cotta</t>
  </si>
  <si>
    <t>Malto (kg)</t>
  </si>
  <si>
    <t>Malto (€)</t>
  </si>
  <si>
    <t>Luppolo (g)</t>
  </si>
  <si>
    <t>Luppolo (€)</t>
  </si>
  <si>
    <t>Subtotale D</t>
  </si>
  <si>
    <t>Lievito+additivi (€)</t>
  </si>
  <si>
    <t>Totale cotta (€)</t>
  </si>
  <si>
    <t>Costo materie prime (€/L)</t>
  </si>
  <si>
    <t>E. Locale, utenze e impianti</t>
  </si>
  <si>
    <t>Pavimento con pendenze e pozzetti</t>
  </si>
  <si>
    <t>Scarico a pavimento, resina lavabile</t>
  </si>
  <si>
    <t>Rivestimenti lavabili pareti e porte</t>
  </si>
  <si>
    <t>Requisito igienico-sanitario</t>
  </si>
  <si>
    <t>Pareti e imbiancatura le fate voi: solo materiali (stima mia)</t>
  </si>
  <si>
    <t>Impianto idraulico e scarichi</t>
  </si>
  <si>
    <t>Allacci acqua calda/fredda, scarico, vasca di decantazione</t>
  </si>
  <si>
    <t>Ventilazione vapori</t>
  </si>
  <si>
    <t>Finestra con ventola semplice (scelta vostra)</t>
  </si>
  <si>
    <t>Stima mia: da verificare che basti per umidità e requisiti ASL. In alternativa condensatore vapori BrewTaurus (≈360 €) o canna di estrazione (≈1.800 €)</t>
  </si>
  <si>
    <t>Allaccio elettrico trifase / potenziamento</t>
  </si>
  <si>
    <t>Oneri al distributore; potenza da verificare: contratto attuale sconosciuto. K220: 7–14 kW + chiller + cella frigorifera</t>
  </si>
  <si>
    <t>Stima mia: chiedere preventivo al distributore</t>
  </si>
  <si>
    <t>Impianto elettrico interno e linee dedicate</t>
  </si>
  <si>
    <t>Quadro generale, protezioni, linee per macchine</t>
  </si>
  <si>
    <t>Avete un elettricista: stima 50% del costo</t>
  </si>
  <si>
    <t>Antincendio e sicurezza</t>
  </si>
  <si>
    <t>Estintori, segnaletica, valutazione rischi; eventuale CPI se necessario</t>
  </si>
  <si>
    <t>CPI solo sopra certe soglie (birrartigianale.com)</t>
  </si>
  <si>
    <t>Progettazione e pratiche tecniche</t>
  </si>
  <si>
    <t>Planimetrie e pratiche tecniche</t>
  </si>
  <si>
    <t>Se ne occupa il socio architetto (risparmio ≈1.500 €)</t>
  </si>
  <si>
    <t>Cauzione sull'affitto</t>
  </si>
  <si>
    <t>Mesi di affitto da versare</t>
  </si>
  <si>
    <t>Recuperabile a fine contratto</t>
  </si>
  <si>
    <t>Riduzione per lavori già presenti nel locale</t>
  </si>
  <si>
    <t>Le voci da 'Pavimento' a 'Antincendio' sono moltiplicate per la quota di lavori necessari (Parametri). Il locale è da verificare</t>
  </si>
  <si>
    <t>Stato del locale da verificare con il socio architetto</t>
  </si>
  <si>
    <t>Subtotale E</t>
  </si>
  <si>
    <t>Dove comprare e come acquistare (da verificare con preventivi)</t>
  </si>
  <si>
    <t>• Malto: sacchi da 25 kg o big bag, base pilsner 1,0–2,0 €/kg a seconda di quantità e fornitore (La Casetta Craft Beer Crew); malti speciali anche oltre 3 €/kg.</t>
  </si>
  <si>
    <t>• Luppolo: pellet in buste da 1 kg; varietà moderne (Citra, Mosaic, Nelson Sauvin) 6–8 € all'etto (La Casetta); varietà classiche 20–50 €/kg.</t>
  </si>
  <si>
    <t>F. Avvio, autorizzazioni e promozione</t>
  </si>
  <si>
    <t>• Lievito: secco o liquido; il lievito liquido costa di più (10–15 € a dose secondo ilmiobusinessplan.com).</t>
  </si>
  <si>
    <t>Costituzione SRL e Camera di Commercio</t>
  </si>
  <si>
    <t>Atto notarile, capitale sociale (verificare), ComUnica, ATECO 11.05.00</t>
  </si>
  <si>
    <t>• Acqua: potenzialmente da addolcire/filtrare; correttivi (sali, acido lattico) tra gli additivi.</t>
  </si>
  <si>
    <t>• Detergenti: caustico (5–10 kg iniziali), acido (≈5 L), sanitizzante (1–2 L): sono compresi nella voce Detergenti dei Parametri.</t>
  </si>
  <si>
    <t>• Scorte: tenere circa 2 mesi di malto/luppolo; il malto va conservato asciutto, il luppolo in freezer.</t>
  </si>
  <si>
    <t>Stima mia: notaio e adempimenti SRL; il capitale sociale da versare non è incluso</t>
  </si>
  <si>
    <t>SCIA al SUAP + notifica sanitaria ASL</t>
  </si>
  <si>
    <t>Registrazione stabilimento alimentare (Reg. CE 852/2004)</t>
  </si>
  <si>
    <t>Fate voi con il socio architetto: restano diritti di segreteria e bolli (stima mia, da verificare)</t>
  </si>
  <si>
    <t>Piano HACCP e formazione</t>
  </si>
  <si>
    <t>Autocontrollo e tracciabilità (Reg. CE 178/2002)</t>
  </si>
  <si>
    <t>Piano scritto da voi (con la formazione obbligatoria): stima mia per corsi e materiali. Rischio di errori: farlo verificare</t>
  </si>
  <si>
    <t>Licenza ADM (deposito fiscale/microbirrificio)</t>
  </si>
  <si>
    <t>Diritti di licenza + pratica; codice accisa; registri di carico/scarico</t>
  </si>
  <si>
    <t>Pratica fatta da voi: restano diritti e bolli (stima mia). Chiedere al commercialista di controllare registri e dichiarazioni accise</t>
  </si>
  <si>
    <t>Fideiussione/cauzione ADM (primo anno)</t>
  </si>
  <si>
    <t>Calcolata da ADM sulla capacità dei serbatoi</t>
  </si>
  <si>
    <t>Stima mia; l'importo reale lo fissa ADM</t>
  </si>
  <si>
    <t>Commercialista e consulenza di avvio</t>
  </si>
  <si>
    <t>Scelta regime fiscale, apertura pratiche</t>
  </si>
  <si>
    <t>Marchio, logo e grafica etichette</t>
  </si>
  <si>
    <t>Registrazione marchio, design</t>
  </si>
  <si>
    <t>Logo ed etichette le fate voi: solo registrazione del marchio (stima mia, da verificare)</t>
  </si>
  <si>
    <t>Sito web e foto</t>
  </si>
  <si>
    <t>Vetrina base</t>
  </si>
  <si>
    <t>Il sito lo fa il socio ingegnere informatico: dominio, hosting e foto (stima mia)</t>
  </si>
  <si>
    <t>Marketing di lancio e campionature</t>
  </si>
  <si>
    <t>Assaggi, eventi</t>
  </si>
  <si>
    <t>Stima mia, versione snella: solo campionature per i primi eventi</t>
  </si>
  <si>
    <t>Subtotale F</t>
  </si>
  <si>
    <t>G. Totali</t>
  </si>
  <si>
    <t>Risparmio per attrezzatura usata</t>
  </si>
  <si>
    <t>Sconto (parametro) sulle voci che comprereste usate: chiller, mulino, pompe, strumenti, scaffalature, riempitrice e capsulatrice, coupler e sistema fusti</t>
  </si>
  <si>
    <t>Investimento A–F (macchine, locale, avvio)</t>
  </si>
  <si>
    <t>Imprevisti</t>
  </si>
  <si>
    <t>% sulle voci A–F (parametro)</t>
  </si>
  <si>
    <t>Mesi di costi (variabili + fissi) dell'anno 1: malto, luppolo, imballaggi, affitto, ecc.</t>
  </si>
  <si>
    <t>TOTALE INVESTIMENTO</t>
  </si>
  <si>
    <t>Nota IVA: i prezzi sono senza IVA. Con partita IVA in regime ordinario l'IVA sugli acquisti è detraibile; in regime forfettario non lo è (verificare con un commercialista).</t>
  </si>
  <si>
    <t>Business plan a 15 anni – K220</t>
  </si>
  <si>
    <t>Voce (valori reali, € salvo diversa indicazione)</t>
  </si>
  <si>
    <t>Anno 0</t>
  </si>
  <si>
    <t>Anno 1</t>
  </si>
  <si>
    <t>Anno 2</t>
  </si>
  <si>
    <t>Anno 3</t>
  </si>
  <si>
    <t>Anno 4</t>
  </si>
  <si>
    <t>Anno 5</t>
  </si>
  <si>
    <t>Anno 6</t>
  </si>
  <si>
    <t>Anno 7</t>
  </si>
  <si>
    <t>Anno 8</t>
  </si>
  <si>
    <t>Anno 9</t>
  </si>
  <si>
    <t>Anno 10</t>
  </si>
  <si>
    <t>Anno 11</t>
  </si>
  <si>
    <t>Anno 12</t>
  </si>
  <si>
    <t>Anno 13</t>
  </si>
  <si>
    <t>Anno 14</t>
  </si>
  <si>
    <t>Anno 15</t>
  </si>
  <si>
    <t>Domanda raggiunta (% del volume a regime)</t>
  </si>
  <si>
    <t>Capacità produttiva (L/anno)</t>
  </si>
  <si>
    <t>Produzione (L): minimo tra capacità e domanda</t>
  </si>
  <si>
    <t>Vendite (L, dopo le perdite)</t>
  </si>
  <si>
    <t xml:space="preserve">  di cui in fusti (L)</t>
  </si>
  <si>
    <t xml:space="preserve">  di cui in bottiglia (L)</t>
  </si>
  <si>
    <t>Bottiglie vendute (n)</t>
  </si>
  <si>
    <t>Cotte all'anno (n)</t>
  </si>
  <si>
    <t>Utilizzo della capacità produttiva</t>
  </si>
  <si>
    <t>RICAVI</t>
  </si>
  <si>
    <t>Ricavi fusti</t>
  </si>
  <si>
    <t>Ricavi bottiglie</t>
  </si>
  <si>
    <t>Ricavi totali (IVA esclusa)</t>
  </si>
  <si>
    <t>COSTI VARIABILI</t>
  </si>
  <si>
    <t>Energia elettrica</t>
  </si>
  <si>
    <t>Acqua e fognatura</t>
  </si>
  <si>
    <t>Imballaggi bottiglie (vetro, tappo, etichetta, cartone, CONAI)</t>
  </si>
  <si>
    <t>Accisa sulla birra immessa in consumo</t>
  </si>
  <si>
    <t>Punto di pareggio e volume necessario</t>
  </si>
  <si>
    <t>Quanti litri bisogna vendere per coprire i costi fissi e per recuperare l'investimento in 5 anni (senza rate né interessi del mutuo).</t>
  </si>
  <si>
    <t>K220</t>
  </si>
  <si>
    <t>Ricavo medio per litro venduto</t>
  </si>
  <si>
    <t>Quota fusti × prezzo/L + quota bottiglie × prezzo/bottiglia ÷ 0,33</t>
  </si>
  <si>
    <t>Costo produzione per litro venduto (materie prime, detergenti, energia, acqua)</t>
  </si>
  <si>
    <t>Si divide per (1 − perdite) perché si produce più di quanto si vende</t>
  </si>
  <si>
    <t>Imballaggi bottiglie e consumabili fusti per litro venduto</t>
  </si>
  <si>
    <t>Accisa per litro venduto</t>
  </si>
  <si>
    <t>Totale costi variabili</t>
  </si>
  <si>
    <t>°P × aliquota × (1 − riduzione) ÷ 100</t>
  </si>
  <si>
    <t>Logistica per litro venduto</t>
  </si>
  <si>
    <t>Margine di contribuzione per litro venduto</t>
  </si>
  <si>
    <t>Ricavo − costi variabili per litro</t>
  </si>
  <si>
    <t>Costi fissi annui a regime</t>
  </si>
  <si>
    <t>Margine di contribuzione</t>
  </si>
  <si>
    <t>Dal business plan (anno 5). L'INPS cresce con il reddito, quindi è solo approssimata</t>
  </si>
  <si>
    <t>Costi fissi ÷ margine per litro (ante imposte e ammortamenti)</t>
  </si>
  <si>
    <t>Litri vendibili al massimo (capacità dopo perdite)</t>
  </si>
  <si>
    <t>Capacità × (1 − perdite)</t>
  </si>
  <si>
    <t>Il pareggio richiede questa quota della capacità</t>
  </si>
  <si>
    <t>Margine di contribuzione %</t>
  </si>
  <si>
    <t>Oltre 100% = serve più capacità (più tank o cotte più grandi)</t>
  </si>
  <si>
    <t>Esito</t>
  </si>
  <si>
    <t>Litri da vendere per rientrare in 5 anni (fissi + investimento ÷ 5)</t>
  </si>
  <si>
    <t>Approssimazione ante imposte, senza mutuo</t>
  </si>
  <si>
    <t>COSTI FISSI</t>
  </si>
  <si>
    <t>Pareggio operativo se non paghi l'affitto</t>
  </si>
  <si>
    <t>Caso di locale di proprietà</t>
  </si>
  <si>
    <t>Volume venduto previsto a regime (domanda indicata)</t>
  </si>
  <si>
    <t>Fusti + bottiglie all'anno (Parametri), in litri</t>
  </si>
  <si>
    <t>Il pareggio richiede questa quota del volume previsto</t>
  </si>
  <si>
    <t>Oltre 100% = con la domanda indicata i costi fissi non sono coperti</t>
  </si>
  <si>
    <t>Utenze fisse</t>
  </si>
  <si>
    <t>Assicurazioni</t>
  </si>
  <si>
    <t>Commercialista e consulenze</t>
  </si>
  <si>
    <t>Contributi INPS (tutte le persone che lavorano)</t>
  </si>
  <si>
    <t>Clienti potenziali in zona</t>
  </si>
  <si>
    <t>Locali trovati con Google Maps nel raggio di circa 30 km da Varallo (elenco non completo: mancano i locali non presenti su Maps, sagre, Pro Loco, associazioni e feste private). Non sappiamo quali abbiano già birra artigianale o contratti con distributori: il primo passo è telefonare. Km in linea d'aria da Varallo (su strada sono di più). Le celle blu sono ipotesi o campi da compilare.</t>
  </si>
  <si>
    <t>Locali nell'elenco (esclusi quelli marcati "Escl.")</t>
  </si>
  <si>
    <t>La quota coperta dipende dalle ipotesi blu qui sotto: sono stime mie, non dati misurati.</t>
  </si>
  <si>
    <t>di cui priorità A / B / C</t>
  </si>
  <si>
    <t>Fusti/mese se tutti diventassero clienti</t>
  </si>
  <si>
    <t>Fusti/mese attesi (con le probabilità di conquista)</t>
  </si>
  <si>
    <t>Fusti/mese a regime nel modello (Parametri)</t>
  </si>
  <si>
    <t>Quota del modello coperta dai clienti attesi</t>
  </si>
  <si>
    <t>Locali da convertire per raggiungere il volume del modello (a media consumo)</t>
  </si>
  <si>
    <t>Fideiussione ADM</t>
  </si>
  <si>
    <t>Ipotesi di consumo e di conquista (stime mie, modificabili)</t>
  </si>
  <si>
    <t>Categoria</t>
  </si>
  <si>
    <t>Fusti/mese se cliente</t>
  </si>
  <si>
    <t>Nota</t>
  </si>
  <si>
    <t>Priorità</t>
  </si>
  <si>
    <t>Probabilità di conquista</t>
  </si>
  <si>
    <t>Criterio</t>
  </si>
  <si>
    <t>Pub / birreria</t>
  </si>
  <si>
    <t>Un pub con una spina dedicata a voi consuma circa 1–2 fusti da 30 L al mese</t>
  </si>
  <si>
    <t>A</t>
  </si>
  <si>
    <t>Entro circa 12 km (Varallo e Borgosesia): pub, bar, ristoranti, rivendite</t>
  </si>
  <si>
    <t>Bar / enoteca-bar</t>
  </si>
  <si>
    <t>Bar: poche spine, rotazione lenta</t>
  </si>
  <si>
    <t>B</t>
  </si>
  <si>
    <t>Tra 12 e 26 km, oppure agriturismi, rifugi e catering vicini</t>
  </si>
  <si>
    <t>Rivendita / enoteca</t>
  </si>
  <si>
    <t>Soprattutto bottiglie: qui il valore è in fusti-equivalenti</t>
  </si>
  <si>
    <t>C</t>
  </si>
  <si>
    <t>Oltre 26 km o poco adatti</t>
  </si>
  <si>
    <t>Ristorante / osteria / pizzeria</t>
  </si>
  <si>
    <t>Una birra alla spina o poche bottiglie nel menu</t>
  </si>
  <si>
    <t>Escl.</t>
  </si>
  <si>
    <t>Escluso (troppo lontano o non pertinente)</t>
  </si>
  <si>
    <t>Agriturismo / B&amp;B / azienda agricola</t>
  </si>
  <si>
    <t>Consumo stagionale, eventi e gruppi</t>
  </si>
  <si>
    <t>Hotel / rifugio di montagna</t>
  </si>
  <si>
    <t>Stagionale e logistica difficile</t>
  </si>
  <si>
    <t>Catering / eventi / location</t>
  </si>
  <si>
    <t>Fusti per matrimoni e feste: dipende dagli eventi</t>
  </si>
  <si>
    <t>Elenco clienti potenziali (ordinati per distanza da Varallo)</t>
  </si>
  <si>
    <t>N.</t>
  </si>
  <si>
    <t>Indirizzo</t>
  </si>
  <si>
    <t>Telefono</t>
  </si>
  <si>
    <t>Km da Varallo</t>
  </si>
  <si>
    <t>Google ★</t>
  </si>
  <si>
    <t>Recensioni</t>
  </si>
  <si>
    <t>Probabilità</t>
  </si>
  <si>
    <t>Fusti/mese attesi</t>
  </si>
  <si>
    <t>Stato contatto</t>
  </si>
  <si>
    <t>Esito della telefonata</t>
  </si>
  <si>
    <t>Mappa</t>
  </si>
  <si>
    <t>WOOD Cafe'</t>
  </si>
  <si>
    <t>Varallo (VC)</t>
  </si>
  <si>
    <t>Piazza S. Carlo Borromeo, 9</t>
  </si>
  <si>
    <t>+39 348 899 0501</t>
  </si>
  <si>
    <t>Da contattare</t>
  </si>
  <si>
    <t>Apri</t>
  </si>
  <si>
    <t>Wine</t>
  </si>
  <si>
    <t>Via Umberto 1°</t>
  </si>
  <si>
    <t>Rifiuti, abbonamenti, varie</t>
  </si>
  <si>
    <t>Gambrinus Pub</t>
  </si>
  <si>
    <t>Piazza Racchetti, 4</t>
  </si>
  <si>
    <t>+39 339 273 0587</t>
  </si>
  <si>
    <t>La Miacceria Laboratorio Artigianale</t>
  </si>
  <si>
    <t>Piazza Giovanni Calderini, 1</t>
  </si>
  <si>
    <t>+39 377 311 7656</t>
  </si>
  <si>
    <t>Totale costi fissi</t>
  </si>
  <si>
    <t>Enoteca di Varallo</t>
  </si>
  <si>
    <t>Corso Roma, 14</t>
  </si>
  <si>
    <t>+39 371 179 3295</t>
  </si>
  <si>
    <t>EBITDA (margine operativo)</t>
  </si>
  <si>
    <t>Il Cortiletto Pub Cafè</t>
  </si>
  <si>
    <t>Corso Roma, 49</t>
  </si>
  <si>
    <t>+39 331 211 7317</t>
  </si>
  <si>
    <t>Ammortamenti (impianti 10 anni, fusti 6 anni: poi zero)</t>
  </si>
  <si>
    <t>Pane vino e poi...</t>
  </si>
  <si>
    <t>Corso Roma, 82</t>
  </si>
  <si>
    <t>+39 345 717 5237</t>
  </si>
  <si>
    <t>Cronoprogramma di avvio (12 mesi)</t>
  </si>
  <si>
    <t>Tempi indicativi: dipendono da Comune, ASL, ADM e dai tempi di consegna dei macchinari.</t>
  </si>
  <si>
    <t>La Locanda Dei Franceschi</t>
  </si>
  <si>
    <t>Via D’Adda, 33e</t>
  </si>
  <si>
    <t>+39 344 509 8561</t>
  </si>
  <si>
    <t>Attività</t>
  </si>
  <si>
    <t>Responsabile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</si>
  <si>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</si>
  <si>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</si>
  <si>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</si>
  <si>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</si>
  <si>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</si>
  <si>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</si>
  <si>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</si>
  <si>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</si>
  <si>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</si>
  <si>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</si>
  <si>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</si>
  <si>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</si>
  <si>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Analisi di mercato locale, assaggi e raccolta preordini</t>
  </si>
  <si>
    <t>Soci</t>
  </si>
  <si>
    <t>Verifica del locale di proprietà: destinazione d'uso, agibilità, sopralluogo (vedi Checklist locale)</t>
  </si>
  <si>
    <t>Socio architetto</t>
  </si>
  <si>
    <t>Business plan definitivo e scelta regime fiscale</t>
  </si>
  <si>
    <t>Soci/Commercialista</t>
  </si>
  <si>
    <t>Preventivo unico BrewTaurus (K220 + UT + chiller + CIP) e P&amp;ID</t>
  </si>
  <si>
    <t>BrewTaurus</t>
  </si>
  <si>
    <t>Ristorante La Lum E Il Cassù</t>
  </si>
  <si>
    <t>Apertura P.IVA, Camera di Commercio, INPS</t>
  </si>
  <si>
    <t>Via Principale, 4</t>
  </si>
  <si>
    <t>Commercialista</t>
  </si>
  <si>
    <t>+39 0163 52407</t>
  </si>
  <si>
    <t>Adeguamento del locale (pavimenti, idraulica, elettrico, aspirazione)</t>
  </si>
  <si>
    <t>Imprese/Elettricista</t>
  </si>
  <si>
    <t>Ordine macchinari e consegna</t>
  </si>
  <si>
    <t>Notifica sanitaria ASL + HACCP + sopralluogo</t>
  </si>
  <si>
    <t>ASL/Consulente</t>
  </si>
  <si>
    <t>Licenza ADM (deposito fiscale) e cauzione</t>
  </si>
  <si>
    <t>Installazione, collaudo e cotte di prova</t>
  </si>
  <si>
    <t>Soci/Tecnico</t>
  </si>
  <si>
    <t>Etichette, marchio, sito, materiale commerciale</t>
  </si>
  <si>
    <t>Prime vendite (fusti e bottiglie) e ramp-up</t>
  </si>
  <si>
    <t>Az.agr. Lavazzei di Defilippi Marco</t>
  </si>
  <si>
    <t>Parone (VC)</t>
  </si>
  <si>
    <t>Località Sella 7</t>
  </si>
  <si>
    <t>+39 349 775 1796</t>
  </si>
  <si>
    <t>Osteria DaMa</t>
  </si>
  <si>
    <t>Località Solivo, 2</t>
  </si>
  <si>
    <t>+39 340 147 8607</t>
  </si>
  <si>
    <t>Agriturismo Valdigoja</t>
  </si>
  <si>
    <t>Loc, Valdigoja</t>
  </si>
  <si>
    <t>+39 0163 54472</t>
  </si>
  <si>
    <t>EBIT</t>
  </si>
  <si>
    <t>B&amp;B Land Wasser</t>
  </si>
  <si>
    <t>Bocciolaro (VC)</t>
  </si>
  <si>
    <t>+39 348 045 2909</t>
  </si>
  <si>
    <t>Imposte (secondo il regime scelto)</t>
  </si>
  <si>
    <t>Ristorante sosta camper Piano delle Fate</t>
  </si>
  <si>
    <t>Cravagliana (VC)</t>
  </si>
  <si>
    <t>+39 0163 560829</t>
  </si>
  <si>
    <t>Area sosta camper con bar-ristorante: afflusso turistico</t>
  </si>
  <si>
    <t>Trattoria Il Giacomaccio</t>
  </si>
  <si>
    <t>Boccioleto (VC)</t>
  </si>
  <si>
    <t>Via Roma, 37</t>
  </si>
  <si>
    <t>+39 0163 75014</t>
  </si>
  <si>
    <t>Osteria Del Moro Borgosesia</t>
  </si>
  <si>
    <t>Borgosesia (VC)</t>
  </si>
  <si>
    <t>Piazza Parrocchiale, 4</t>
  </si>
  <si>
    <t>+39 0163 22578</t>
  </si>
  <si>
    <t>Valsesia Wedding</t>
  </si>
  <si>
    <t>Via Alberto Giordano, 59</t>
  </si>
  <si>
    <t>+39 335 136 7777</t>
  </si>
  <si>
    <t>Servizio per matrimoni, non somministra: escluso</t>
  </si>
  <si>
    <t>Nova Lounge Café Borgosesia</t>
  </si>
  <si>
    <t>Piazza Martiri, 24</t>
  </si>
  <si>
    <t>+39 393 218 2114</t>
  </si>
  <si>
    <t>Betty's Bier Eck</t>
  </si>
  <si>
    <t>Via Frà Dolcino, 21</t>
  </si>
  <si>
    <t>+39 347 121 0668</t>
  </si>
  <si>
    <t>gb club borgosesia</t>
  </si>
  <si>
    <t>Piazza Giuseppe Mazzini, n°1</t>
  </si>
  <si>
    <t>+39 0163 22269</t>
  </si>
  <si>
    <t>Utile netto</t>
  </si>
  <si>
    <t>Bar GEM Wine and Spirits</t>
  </si>
  <si>
    <t>Via XX Settembre, 15</t>
  </si>
  <si>
    <t>+39 351 330 5845</t>
  </si>
  <si>
    <t>Controllo limite ricavi forfettario</t>
  </si>
  <si>
    <t>WonderBAR al parco</t>
  </si>
  <si>
    <t>Via lins Fasani magni</t>
  </si>
  <si>
    <t>+39 333 247 5174</t>
  </si>
  <si>
    <t>La Verace Pizzeria gourmet e friggitoria</t>
  </si>
  <si>
    <t>Corso Vercelli, 2</t>
  </si>
  <si>
    <t>+39 0163 293122</t>
  </si>
  <si>
    <t>Blacksmith Borgosesia</t>
  </si>
  <si>
    <t>Corso Vercelli, 123</t>
  </si>
  <si>
    <t>+39 344 413 1635</t>
  </si>
  <si>
    <t>Fonti consultate</t>
  </si>
  <si>
    <t>Le fonti sono state lette in ottobre 2026; verificare gli aggiornamenti prima di decidere.</t>
  </si>
  <si>
    <t>Agriturismo Al Mulin Dal Paja</t>
  </si>
  <si>
    <t>Postua (VC)</t>
  </si>
  <si>
    <t>Via Molino, 1</t>
  </si>
  <si>
    <t>+39 015 768799</t>
  </si>
  <si>
    <t>Argomento</t>
  </si>
  <si>
    <t>Fonte</t>
  </si>
  <si>
    <t>Link</t>
  </si>
  <si>
    <t>Prezzi macchinari BrewTaurus</t>
  </si>
  <si>
    <t>Sito BrewTaurus (K220, UT PRO, chiller, CIP kit, Hose Kit)</t>
  </si>
  <si>
    <t>Unitank PRO (UT-200, PED, VAT)</t>
  </si>
  <si>
    <t>Agriturismo Il Bucaneve</t>
  </si>
  <si>
    <t>BrewTaurus PRO – Unitanks</t>
  </si>
  <si>
    <t>Chioso (VC)</t>
  </si>
  <si>
    <t>Via Chioso, 18</t>
  </si>
  <si>
    <t>+39 0163 71969</t>
  </si>
  <si>
    <t>Ore di lavoro all'anno in due (stima, non valorizzate)</t>
  </si>
  <si>
    <t>Accisa 2026–2027 (2,98 €/hl/°P)</t>
  </si>
  <si>
    <t>Beverfood – Legge di Bilancio 2026</t>
  </si>
  <si>
    <t>StuzziCamy Catering&amp;Events</t>
  </si>
  <si>
    <t>Via Ottone Angelo, 1</t>
  </si>
  <si>
    <t>+39 340 377 1389</t>
  </si>
  <si>
    <t>Accisa ridotta microbirrifici (40%)</t>
  </si>
  <si>
    <t>Mainente1988 Catering Matrimoni e Aziende</t>
  </si>
  <si>
    <t>+39 340 984 5660</t>
  </si>
  <si>
    <t>Accisa ridotta (50% secondo LdB 2025)</t>
  </si>
  <si>
    <t>Fisco di Prossimità</t>
  </si>
  <si>
    <t>Birba Caffe' di Gianello Monica</t>
  </si>
  <si>
    <t>Serravalle Sesia (VC)</t>
  </si>
  <si>
    <t>Regione Naula, 27</t>
  </si>
  <si>
    <t>+39 334 349 0173</t>
  </si>
  <si>
    <t>Definizione birra artigianale</t>
  </si>
  <si>
    <t>Confagricoltura</t>
  </si>
  <si>
    <t>Ristorante Da Giovanni</t>
  </si>
  <si>
    <t>Via dei Ceri, 1</t>
  </si>
  <si>
    <t>+39 0163 450157</t>
  </si>
  <si>
    <t>Iter autorizzativo</t>
  </si>
  <si>
    <t>La Casetta – Taproom: permessi</t>
  </si>
  <si>
    <t>FLUSSI DI CASSA E RIENTRO DELL'INVESTIMENTO</t>
  </si>
  <si>
    <t>Azienda Agricola Le Beline s.s. - Baita del Noce</t>
  </si>
  <si>
    <t>Grampa (VC)</t>
  </si>
  <si>
    <t>+39 349 644 0318</t>
  </si>
  <si>
    <t>Flusso di cassa (utile netto + ammortamenti; anno 0 = investimento totale)</t>
  </si>
  <si>
    <t>Azienda agricola/allevamento: probabilmente non somministra; da verificare</t>
  </si>
  <si>
    <t>Iter e costi apertura microbirrificio</t>
  </si>
  <si>
    <t>Software Business Plan</t>
  </si>
  <si>
    <t>Azienda Agricola Floralp</t>
  </si>
  <si>
    <t>Rusa (VC)</t>
  </si>
  <si>
    <t>+39 320 940 6211</t>
  </si>
  <si>
    <t>Legislazione birra artigianale</t>
  </si>
  <si>
    <t>Birrartigianale.com</t>
  </si>
  <si>
    <t>Flusso cumulato</t>
  </si>
  <si>
    <t>La Birreria di Grignasco (Giomar)</t>
  </si>
  <si>
    <t>Grignasco (NO)</t>
  </si>
  <si>
    <t>Via Federico Peretti, 55</t>
  </si>
  <si>
    <t>+39 0163 418434</t>
  </si>
  <si>
    <t>Ristorante-birreria molto frequentato; probabile contratto con grande distributore</t>
  </si>
  <si>
    <t>Mercato 2025</t>
  </si>
  <si>
    <t>Cronache di Birra – Assobirra Annual Report 2025</t>
  </si>
  <si>
    <t>Calcolo del punto di rientro (supporto)</t>
  </si>
  <si>
    <t>Cascina dei Prapien</t>
  </si>
  <si>
    <t>Mosso (BI)</t>
  </si>
  <si>
    <t>Regione Prapiano, 1</t>
  </si>
  <si>
    <t>+39 339 776 6963</t>
  </si>
  <si>
    <t>Prezzi e costi</t>
  </si>
  <si>
    <t>Il Mio Business Plan</t>
  </si>
  <si>
    <t>Valsesia Vini</t>
  </si>
  <si>
    <t>Borgomanero (NO)</t>
  </si>
  <si>
    <t>Via Prevosto Felice Piana, 84/88</t>
  </si>
  <si>
    <t>+39 0322 81681</t>
  </si>
  <si>
    <t>Costi imballaggi</t>
  </si>
  <si>
    <t>Rivendita/distributore: possibile canale per le bottiglie</t>
  </si>
  <si>
    <t>Fermentobirra – quanto costa fare la birra</t>
  </si>
  <si>
    <t>Agriturismo In Valle Sul Fiume</t>
  </si>
  <si>
    <t>Calasca-Castiglione (VB)</t>
  </si>
  <si>
    <t>3, Località Due Ponti, 28873</t>
  </si>
  <si>
    <t>+39 347 873 1873</t>
  </si>
  <si>
    <t>Prezzi al litro per canale</t>
  </si>
  <si>
    <t>Birreria Bèer Shop Melrose Place</t>
  </si>
  <si>
    <t>Romagnano Sesia (NO)</t>
  </si>
  <si>
    <t>Via Novara, 141</t>
  </si>
  <si>
    <t>+39 348 734 4222</t>
  </si>
  <si>
    <t>INPS artigiani e commercianti 2026</t>
  </si>
  <si>
    <t>Ecnews – Circolare INPS 14/2026</t>
  </si>
  <si>
    <t>Beer shop: adatto soprattutto alle bottiglie (e come concorrente sugli scaffali)</t>
  </si>
  <si>
    <t>Impresa familiare e forfettario</t>
  </si>
  <si>
    <t>Meteor Pub</t>
  </si>
  <si>
    <t>Flextax</t>
  </si>
  <si>
    <t>Gattinara (VC)</t>
  </si>
  <si>
    <t>Corso Valsesia, 126</t>
  </si>
  <si>
    <t>Autoimpiego Centro-Nord (under 35)</t>
  </si>
  <si>
    <t>Leggioggi – come funziona</t>
  </si>
  <si>
    <t>Mulligans Irish Pub &amp; Restaurant</t>
  </si>
  <si>
    <t>Corso Giuseppe Garibaldi, 165</t>
  </si>
  <si>
    <t>+39 0163 823788</t>
  </si>
  <si>
    <t>Irish pub molto frequentato; probabile fornitura da marchi irlandesi/grandi birrifici</t>
  </si>
  <si>
    <t>Righe 4–56 (senza mutuo): il flusso di cassa è semplificato e non include variazioni del circolante né il valore residuo degli impianti. I ricavi sono ex IVA. Non sono previste sostituzioni di impianti e fusti: dopo l'anno 6 (fusti) e l'anno 10 (impianti) l'ammortamento finisce, ma le attrezzature andrebbero rinnovate.</t>
  </si>
  <si>
    <t>Resto al Sud 2.0 (solo Sud)</t>
  </si>
  <si>
    <t>Reteagevolazioni.it</t>
  </si>
  <si>
    <t>MUTUO E FLUSSI DI CASSA CON FINANZIAMENTO</t>
  </si>
  <si>
    <t>Debito a inizio anno</t>
  </si>
  <si>
    <t>Birimbao Snc Di Paolo and Titian Barbaglia</t>
  </si>
  <si>
    <t>Corso Valsesia, 85</t>
  </si>
  <si>
    <t>+39 0163 294178</t>
  </si>
  <si>
    <t>Smart&amp;Start Italia 2026</t>
  </si>
  <si>
    <t>Partitaiva.it</t>
  </si>
  <si>
    <t>Mesi trascorsi dall'erogazione (a fine anno)</t>
  </si>
  <si>
    <t>BrandOsteria</t>
  </si>
  <si>
    <t>Corso Valsesia, 1</t>
  </si>
  <si>
    <t>+39 0163 417344</t>
  </si>
  <si>
    <t>Nuova Sabatini 2026</t>
  </si>
  <si>
    <t>Scheda nazionale (CNA Macerata)</t>
  </si>
  <si>
    <t>Mesi di preammortamento (solo interessi) nell'anno</t>
  </si>
  <si>
    <t>Montagna di Luce Albergo Bar Ristorante</t>
  </si>
  <si>
    <t>Fondo di Garanzia PMI 2026</t>
  </si>
  <si>
    <t>Edotto</t>
  </si>
  <si>
    <t>Alagna Valsesia (VC)</t>
  </si>
  <si>
    <t>Frazione Pedemonte, 19</t>
  </si>
  <si>
    <t>+39 0163 922820</t>
  </si>
  <si>
    <t>Hotel + bar + ristorante (stesso indirizzo di Ristorante Bar Montagna di Luce, contato una volta)</t>
  </si>
  <si>
    <t>Piemonte: Autoimpiego L.R. 32/23</t>
  </si>
  <si>
    <t>Scheda banche Finpiemonte</t>
  </si>
  <si>
    <t>Rifugio Valle Vogna</t>
  </si>
  <si>
    <t>Frazione Sant’Antonio 1</t>
  </si>
  <si>
    <t>+39 0163 326568</t>
  </si>
  <si>
    <t>Alta valle: consegna da verificare, stagionale</t>
  </si>
  <si>
    <t>Tassi sui prestiti alle imprese, 2° trim. 2026</t>
  </si>
  <si>
    <t>QuiFinanza (dati Banca d'Italia)</t>
  </si>
  <si>
    <t>Agriturismo Alagna</t>
  </si>
  <si>
    <t>Frazione Rusa</t>
  </si>
  <si>
    <t>+39 328 963 1049</t>
  </si>
  <si>
    <t>Euribor 3 mesi 2026</t>
  </si>
  <si>
    <t>Global-rates.com</t>
  </si>
  <si>
    <t>Refuge Tsar Senni</t>
  </si>
  <si>
    <t>Follu</t>
  </si>
  <si>
    <t>Val d'Otro</t>
  </si>
  <si>
    <t>+39 0163 922952</t>
  </si>
  <si>
    <t>Rifugio in quota (Val d'Otro): consegna fusti da verificare, stagionale</t>
  </si>
  <si>
    <t>Esempio di prestito garantito dal Fondo PMI</t>
  </si>
  <si>
    <t>Banca Mediolanum – foglio informativo</t>
  </si>
  <si>
    <t>Mesi di ammortamento completati (a fine anno)</t>
  </si>
  <si>
    <t>Rifugio Pastore</t>
  </si>
  <si>
    <t>Località Alpe Pile</t>
  </si>
  <si>
    <t>+39 0163 326570</t>
  </si>
  <si>
    <t>Rifugio in quota (Alpe Pile): consegna fusti da verificare, stagionale</t>
  </si>
  <si>
    <t>Cascina Capitanio</t>
  </si>
  <si>
    <t>Sillavengo (NO)</t>
  </si>
  <si>
    <t>Via S. Giuseppe, 21</t>
  </si>
  <si>
    <t>+39 347 641 3452</t>
  </si>
  <si>
    <t>Location per matrimoni: lontana, ma fusti per eventi privati</t>
  </si>
  <si>
    <t>Il Giardino Incantato</t>
  </si>
  <si>
    <t>Crova (VC)</t>
  </si>
  <si>
    <t>Via IV Novembre, 5</t>
  </si>
  <si>
    <t>+39 351 471 6822</t>
  </si>
  <si>
    <t>Troppo lontano (oltre 50 km): escluso</t>
  </si>
  <si>
    <t>Tenuta Ferraria - Location per Eventi</t>
  </si>
  <si>
    <t>Casalrosso (VC)</t>
  </si>
  <si>
    <t>45.297641, 8.358293</t>
  </si>
  <si>
    <t>+39 327 435 7353</t>
  </si>
  <si>
    <t>Altri birrifici e brewpub nelle vicinanze (concorrenti, non clienti)</t>
  </si>
  <si>
    <t>Quota capitale rimborsata</t>
  </si>
  <si>
    <t>BAV - Birreria Artigiana Vallecellio</t>
  </si>
  <si>
    <t>Birrificio / brewpub</t>
  </si>
  <si>
    <t>Cellio (VC)</t>
  </si>
  <si>
    <t>Località Maddalena</t>
  </si>
  <si>
    <t>+39 331 588 4900</t>
  </si>
  <si>
    <t>Il più vicino (Cellio): birra di riso e di castagne, vendita sul territorio</t>
  </si>
  <si>
    <t>Debito residuo a fine anno (anno 0 = mutuo erogato)</t>
  </si>
  <si>
    <t>In Beer Brewery</t>
  </si>
  <si>
    <t>Trivero (BI)</t>
  </si>
  <si>
    <t>Frazione Zoccolo, 3/B</t>
  </si>
  <si>
    <t>+39 377 154 1225</t>
  </si>
  <si>
    <t>Concorrente nella stessa area di vendita</t>
  </si>
  <si>
    <t>Birrificio Z'AM STEG</t>
  </si>
  <si>
    <t>Mollia (VC)</t>
  </si>
  <si>
    <t>SP.299 Frazione Casacce</t>
  </si>
  <si>
    <t>+39 331 372 0086</t>
  </si>
  <si>
    <t>Brewpub sulla strada per Alagna (Mollia): intercetta il turismo della valle</t>
  </si>
  <si>
    <t>Birrificio Artigianale Dr. Barbanera</t>
  </si>
  <si>
    <t>Cavallirio (NO)</t>
  </si>
  <si>
    <t>Via Giacomo Matteotti, 20</t>
  </si>
  <si>
    <t>+39 0163 028007</t>
  </si>
  <si>
    <t>Birra Rèsga</t>
  </si>
  <si>
    <t>Prato Sesia (NO)</t>
  </si>
  <si>
    <t>Via Frà Dolcino, 44</t>
  </si>
  <si>
    <t>+39 347 552 2927</t>
  </si>
  <si>
    <t>Birrificio la Tresca</t>
  </si>
  <si>
    <t>Baraggia (NO)</t>
  </si>
  <si>
    <t>Via Novara, 12</t>
  </si>
  <si>
    <t>+39 0322 85248</t>
  </si>
  <si>
    <t>Birrificio Artigianale Viana</t>
  </si>
  <si>
    <t>Candelo (BI)</t>
  </si>
  <si>
    <t>Via Molignati, 12</t>
  </si>
  <si>
    <t>+39 393 033 2728</t>
  </si>
  <si>
    <t>Hordeum - Birrificio Agricolo di Novara</t>
  </si>
  <si>
    <t>Novara (NO)</t>
  </si>
  <si>
    <t>Corso Vercelli, 120</t>
  </si>
  <si>
    <t>+39 340 062 2835</t>
  </si>
  <si>
    <t>Fuori zona: solo come riferimento</t>
  </si>
  <si>
    <t>Fonte: Google Maps (ottobre 2026). Valutazioni e recensioni sono dati Google e cambiano nel tempo; telefoni e orari vanno verificati prima della chiamata. Non incluse sagre e feste patronali, Pro Loco e associazioni sportive: spesso sono i volumi più grandi per i fusti.</t>
  </si>
  <si>
    <t>Interessi pagati</t>
  </si>
  <si>
    <t>Rata pagata nell'anno (capitale + interessi)</t>
  </si>
  <si>
    <t>Imposte con mutuo (gli interessi riducono solo l'IRES)</t>
  </si>
  <si>
    <t>Utile netto con mutuo</t>
  </si>
  <si>
    <t>Flusso di cassa dopo le rate (utile netto + ammortamenti − capitale rimborsato)</t>
  </si>
  <si>
    <t>Copertura del debito: (EBITDA − imposte) ÷ rata</t>
  </si>
  <si>
    <t>Flusso di cassa dei soci (anno 0 = capitale proprio versato)</t>
  </si>
  <si>
    <t>Flusso cumulato dei soci</t>
  </si>
  <si>
    <t>Payback dei soci: anni per recuperare capitale proprio e versamenti (anni)</t>
  </si>
  <si>
    <t>Esborso massimo cumulato dei soci (picco, anni 0–15)</t>
  </si>
  <si>
    <t>Interessi totali pagati sul mutuo (15 anni)</t>
  </si>
  <si>
    <t>Le rate sono mensili; il modello è annuale. Gli interessi riducono solo l'IRES (non l'IRAP, calcolata sull'EBIT); con regime forfettario non sono deducibili. Le perdite fiscali degli anni iniziali non vengono riportate agli anni successivi (semplificazione già presente nel modello). Flussi negativi = i soci devono versare cassa. Righe 43–56 = stessa attività senza mutuo.</t>
  </si>
  <si>
    <t>Checklist per il sopralluogo del locale</t>
  </si>
  <si>
    <t>Da compilare col socio architetto. Ogni punto indica a quale voce di costo del modello corrisponde: se il locale è già a posto, abbassa la quota dei lavori nei Parametri.</t>
  </si>
  <si>
    <t>Punto da verificare</t>
  </si>
  <si>
    <t>Perché conta</t>
  </si>
  <si>
    <t>Voce del modello (stima se manca)</t>
  </si>
  <si>
    <t>Esito (da compilare)</t>
  </si>
  <si>
    <t>Destinazione d'uso e agibilità</t>
  </si>
  <si>
    <t>La SCIA per attività produttiva alimentare richiede un locale idoneo e conforme (urbanistica, catasto, agibilità)</t>
  </si>
  <si>
    <t>Pratiche tecniche: già a 0 (se ne occupa il socio)</t>
  </si>
  <si>
    <t>Superficie utile e suddivisione in zone</t>
  </si>
  <si>
    <t>Servono zone separate: cottura, fermentazione, confezionamento, magazzino (40–80 m²)</t>
  </si>
  <si>
    <t>Layout da progettare</t>
  </si>
  <si>
    <t>Altezza utile e accessi</t>
  </si>
  <si>
    <t>Fermentatori e sala cottura devono entrare e stare sotto soffitto e impianti (vaso K220: 978 mm, 1.022 con coperchio). Porte e passaggi adeguati per le macchine</t>
  </si>
  <si>
    <t>Nessuna voce specifica</t>
  </si>
  <si>
    <t>Portata del solaio / pavimento</t>
  </si>
  <si>
    <t>Il sistema pieno pesa molto (un K40 pieno 120–160 kg; il K220 e i tank molto di più)</t>
  </si>
  <si>
    <t>Verifica strutturale se necessaria: non inclusa</t>
  </si>
  <si>
    <t>Pavimento lavabile con pendenza e pozzetto</t>
  </si>
  <si>
    <t>Requisito igienico-sanitario e per gli scarichi di lavaggio</t>
  </si>
  <si>
    <t>Pavimento con pendenze e pozzetti: 2.500 €</t>
  </si>
  <si>
    <t>Scarico e fognatura</t>
  </si>
  <si>
    <t>Smaltimento acque di lavaggio e di processo; sifone/pozzetto</t>
  </si>
  <si>
    <t>Impianto idraulico e scarichi: 2.500 € (non avete un idraulico)</t>
  </si>
  <si>
    <t>Acqua potabile (portata e pressione, acqua calda)</t>
  </si>
  <si>
    <t>Il consumo è circa 6 L di acqua per litro di birra, più i lavaggi</t>
  </si>
  <si>
    <t>Impianto idraulico e scarichi; trattamento acqua 300 € (filtri a carbone)</t>
  </si>
  <si>
    <t>Pareti e soffitti lavabili</t>
  </si>
  <si>
    <t>Requisito ASL</t>
  </si>
  <si>
    <t>Rivestimenti lavabili: 600 € (solo materiali: pareti e imbiancatura le fate voi)</t>
  </si>
  <si>
    <t>Corrente: potenza disponibile e monofase/trifase</t>
  </si>
  <si>
    <t>K220 2V circa 7 kW (da verificare), più chiller glicole e cella frigorifera: sommare le potenze con l'elettricista</t>
  </si>
  <si>
    <t>Allaccio elettrico/potenziamento 1.500–3.000 € + impianto interno 1.250–2.000 € (elettricista vostro)</t>
  </si>
  <si>
    <t>Estrazione dei vapori</t>
  </si>
  <si>
    <t>Il bollitore produce vapore: serve estrazione o condensatore (BrewTaurus vende condensatori ≈360 €)</t>
  </si>
  <si>
    <t>Ventilazione vapori: 300 € (finestra con ventola); con canna di estrazione 1.800 €</t>
  </si>
  <si>
    <t>Servizi igienici, antibagno e spogliatoio</t>
  </si>
  <si>
    <t>Spesso richiesti dall'ASL per stabilimenti alimentari: da verificare</t>
  </si>
  <si>
    <t>NON incluso nel modello</t>
  </si>
  <si>
    <t>Lavamani con comando non manuale</t>
  </si>
  <si>
    <t>Spesso richiesto in zona produzione: da verificare con ASL</t>
  </si>
  <si>
    <t>Antincendio e vie di fuga</t>
  </si>
  <si>
    <t>Estintori, segnaletica, uscite; CPI solo sopra soglie</t>
  </si>
  <si>
    <t>Antincendio e sicurezza: 600 €</t>
  </si>
  <si>
    <t>Stoccaggio malto, bottiglie e fusti</t>
  </si>
  <si>
    <t>Spazio asciutto per malto e imballaggi; fusti pieni in fresco</t>
  </si>
  <si>
    <t>Scaffalature 400 €; cella frigorifera 5.500 € (usata costerebbe meno)</t>
  </si>
  <si>
    <t>Trebbie e rifiuti</t>
  </si>
  <si>
    <t>Ritiro o smaltimento delle trebbie (residui di malto) e dei rifiuti di produzione</t>
  </si>
  <si>
    <t>Nessuna voce: da verificare (TARI nelle voci fisse)</t>
  </si>
  <si>
    <t>Vincoli del condominio, rumore e vicinato</t>
  </si>
  <si>
    <t>Orari, odori, regolamento condominiale e permessi comunali</t>
  </si>
  <si>
    <t>Nessuna voce</t>
  </si>
  <si>
    <t>Come usarla: dopo il sopralluogo, indica la quota dei lavori ancora necessari in Parametri (riga 'Quota dei lavori di adeguamento del locale necessari'). 100% = tutto da fare; 0% = locale già pronto.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</si>
</sst>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"/>
    <numFmt numFmtId="165" formatCode="0.0%"/>
    <numFmt numFmtId="166" formatCode="#,##0&quot; €&quot;;[RED]\(#,##0&quot; €)&quot;;\-"/>
    <numFmt numFmtId="167" formatCode="0.0"/>
    <numFmt numFmtId="168" formatCode="0.00\x"/>
    <numFmt numFmtId="169" formatCode="#,##0.00&quot; €&quot;;[RED]\(#,##0.00&quot; €)&quot;;\-"/>
    <numFmt numFmtId="170" formatCode="0.000"/>
  </numFmts>
  <fonts count="20">
    <font>
      <sz val="11.0"/>
      <color theme="1"/>
      <name val="Calibri"/>
      <scheme val="minor"/>
    </font>
    <font>
      <b/>
      <sz val="15.0"/>
      <color theme="1"/>
      <name val="Arial"/>
    </font>
    <font>
      <sz val="11.0"/>
      <color theme="1"/>
      <name val="Calibri"/>
    </font>
    <font>
      <i/>
      <sz val="9.0"/>
      <color rgb="FF595959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FF"/>
      <name val="Arial"/>
    </font>
    <font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FF"/>
      <name val="Arial"/>
    </font>
    <font>
      <b/>
      <sz val="10.0"/>
      <color rgb="FF008000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sz val="10.0"/>
      <color rgb="FF008000"/>
      <name val="Arial"/>
    </font>
    <font/>
    <font>
      <u/>
      <sz val="10.0"/>
      <color rgb="FF0563C1"/>
      <name val="Arial"/>
    </font>
    <font>
      <sz val="9.0"/>
      <color rgb="FF595959"/>
      <name val="Arial"/>
    </font>
    <font>
      <i/>
      <sz val="10.0"/>
      <color rgb="FF595959"/>
      <name val="Arial"/>
    </font>
    <font>
      <u/>
      <sz val="10.0"/>
      <color rgb="FF0563C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2F75B5"/>
        <bgColor rgb="FF2F75B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6" numFmtId="164" xfId="0" applyAlignment="1" applyBorder="1" applyFont="1" applyNumberFormat="1">
      <alignment shrinkToFit="0" vertical="top" wrapText="1"/>
    </xf>
    <xf borderId="1" fillId="0" fontId="7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shrinkToFit="0" vertical="bottom" wrapText="0"/>
    </xf>
    <xf borderId="1" fillId="0" fontId="6" numFmtId="3" xfId="0" applyAlignment="1" applyBorder="1" applyFont="1" applyNumberFormat="1">
      <alignment shrinkToFit="0" vertical="top" wrapText="1"/>
    </xf>
    <xf borderId="1" fillId="0" fontId="6" numFmtId="165" xfId="0" applyAlignment="1" applyBorder="1" applyFont="1" applyNumberFormat="1">
      <alignment shrinkToFit="0" vertical="top" wrapText="1"/>
    </xf>
    <xf borderId="0" fillId="0" fontId="10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shrinkToFit="0" vertical="top" wrapText="1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top" wrapText="0"/>
    </xf>
    <xf borderId="1" fillId="3" fontId="7" numFmtId="3" xfId="0" applyAlignment="1" applyBorder="1" applyFill="1" applyFont="1" applyNumberFormat="1">
      <alignment shrinkToFit="0" vertical="top" wrapText="1"/>
    </xf>
    <xf borderId="1" fillId="3" fontId="7" numFmtId="0" xfId="0" applyAlignment="1" applyBorder="1" applyFill="1" applyFont="1">
      <alignment horizontal="center" shrinkToFit="0" vertical="top" wrapText="1"/>
    </xf>
    <xf borderId="1" fillId="3" fontId="7" numFmtId="0" xfId="0" applyAlignment="1" applyBorder="1" applyFill="1" applyFont="1">
      <alignment shrinkToFit="0" vertical="top" wrapText="1"/>
    </xf>
    <xf borderId="0" fillId="0" fontId="13" numFmtId="0" xfId="0" applyAlignment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1" fillId="0" fontId="11" numFmtId="166" xfId="0" applyAlignment="1" applyBorder="1" applyFont="1" applyNumberFormat="1">
      <alignment shrinkToFit="0" vertical="top" wrapText="1"/>
    </xf>
    <xf borderId="1" fillId="0" fontId="14" numFmtId="166" xfId="0" applyAlignment="1" applyBorder="1" applyFont="1" applyNumberFormat="1">
      <alignment shrinkToFit="0" vertical="top" wrapText="1"/>
    </xf>
    <xf borderId="1" fillId="0" fontId="14" numFmtId="164" xfId="0" applyAlignment="1" applyBorder="1" applyFont="1" applyNumberFormat="1">
      <alignment shrinkToFit="0" vertical="top" wrapText="1"/>
    </xf>
    <xf borderId="1" fillId="0" fontId="11" numFmtId="167" xfId="0" applyAlignment="1" applyBorder="1" applyFont="1" applyNumberFormat="1">
      <alignment shrinkToFit="0" vertical="top" wrapText="1"/>
    </xf>
    <xf borderId="1" fillId="0" fontId="7" numFmtId="167" xfId="0" applyAlignment="1" applyBorder="1" applyFont="1" applyNumberFormat="1">
      <alignment shrinkToFit="0" vertical="top" wrapText="1"/>
    </xf>
    <xf borderId="1" fillId="0" fontId="14" numFmtId="3" xfId="0" applyAlignment="1" applyBorder="1" applyFont="1" applyNumberFormat="1">
      <alignment shrinkToFit="0" vertical="top" wrapText="1"/>
    </xf>
    <xf borderId="1" fillId="0" fontId="11" numFmtId="165" xfId="0" applyAlignment="1" applyBorder="1" applyFont="1" applyNumberFormat="1">
      <alignment shrinkToFit="0" vertical="top" wrapText="1"/>
    </xf>
    <xf borderId="1" fillId="0" fontId="14" numFmtId="165" xfId="0" applyAlignment="1" applyBorder="1" applyFont="1" applyNumberFormat="1">
      <alignment shrinkToFit="0" vertical="top" wrapText="1"/>
    </xf>
    <xf borderId="1" fillId="0" fontId="14" numFmtId="168" xfId="0" applyAlignment="1" applyBorder="1" applyFont="1" applyNumberFormat="1">
      <alignment shrinkToFit="0" vertical="top" wrapText="1"/>
    </xf>
    <xf borderId="1" fillId="0" fontId="14" numFmtId="167" xfId="0" applyAlignment="1" applyBorder="1" applyFont="1" applyNumberFormat="1">
      <alignment shrinkToFit="0" vertical="top" wrapText="1"/>
    </xf>
    <xf borderId="1" fillId="4" fontId="8" numFmtId="0" xfId="0" applyAlignment="1" applyBorder="1" applyFill="1" applyFont="1">
      <alignment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1" fillId="0" fontId="6" numFmtId="0" xfId="0" applyAlignment="1" applyBorder="1" applyFont="1">
      <alignment horizontal="center" shrinkToFit="0" vertical="top" wrapText="1"/>
    </xf>
    <xf borderId="1" fillId="0" fontId="6" numFmtId="165" xfId="0" applyAlignment="1" applyBorder="1" applyFont="1" applyNumberFormat="1">
      <alignment readingOrder="0" shrinkToFit="0" vertical="top" wrapText="1"/>
    </xf>
    <xf borderId="1" fillId="0" fontId="7" numFmtId="164" xfId="0" applyAlignment="1" applyBorder="1" applyFont="1" applyNumberFormat="1">
      <alignment shrinkToFit="0" vertical="top" wrapText="1"/>
    </xf>
    <xf borderId="1" fillId="0" fontId="7" numFmtId="3" xfId="0" applyAlignment="1" applyBorder="1" applyFont="1" applyNumberFormat="1">
      <alignment shrinkToFit="0" vertical="top" wrapText="1"/>
    </xf>
    <xf borderId="1" fillId="0" fontId="6" numFmtId="3" xfId="0" applyAlignment="1" applyBorder="1" applyFont="1" applyNumberFormat="1">
      <alignment readingOrder="0" shrinkToFit="0" vertical="top" wrapText="1"/>
    </xf>
    <xf borderId="1" fillId="0" fontId="7" numFmtId="165" xfId="0" applyAlignment="1" applyBorder="1" applyFont="1" applyNumberFormat="1">
      <alignment shrinkToFit="0" vertical="top" wrapText="1"/>
    </xf>
    <xf borderId="1" fillId="0" fontId="7" numFmtId="9" xfId="0" applyAlignment="1" applyBorder="1" applyFont="1" applyNumberFormat="1">
      <alignment shrinkToFit="0" vertical="top" wrapText="1"/>
    </xf>
    <xf borderId="1" fillId="0" fontId="7" numFmtId="0" xfId="0" applyAlignment="1" applyBorder="1" applyFont="1">
      <alignment horizontal="right" shrinkToFit="0" vertical="bottom" wrapText="0"/>
    </xf>
    <xf borderId="1" fillId="0" fontId="6" numFmtId="169" xfId="0" applyAlignment="1" applyBorder="1" applyFont="1" applyNumberFormat="1">
      <alignment shrinkToFit="0" vertical="top" wrapText="1"/>
    </xf>
    <xf borderId="1" fillId="0" fontId="6" numFmtId="2" xfId="0" applyAlignment="1" applyBorder="1" applyFont="1" applyNumberFormat="1">
      <alignment shrinkToFit="0" vertical="top" wrapText="1"/>
    </xf>
    <xf borderId="1" fillId="0" fontId="14" numFmtId="169" xfId="0" applyAlignment="1" applyBorder="1" applyFont="1" applyNumberFormat="1">
      <alignment shrinkToFit="0" vertical="top" wrapText="1"/>
    </xf>
    <xf borderId="1" fillId="0" fontId="6" numFmtId="170" xfId="0" applyAlignment="1" applyBorder="1" applyFont="1" applyNumberFormat="1">
      <alignment shrinkToFit="0" vertical="top" wrapText="1"/>
    </xf>
    <xf borderId="1" fillId="5" fontId="4" numFmtId="0" xfId="0" applyAlignment="1" applyBorder="1" applyFill="1" applyFont="1">
      <alignment horizontal="center" shrinkToFit="0" vertical="top" wrapText="1"/>
    </xf>
    <xf borderId="1" fillId="6" fontId="4" numFmtId="0" xfId="0" applyAlignment="1" applyBorder="1" applyFill="1" applyFont="1">
      <alignment horizontal="center" shrinkToFit="0" vertical="top" wrapText="1"/>
    </xf>
    <xf borderId="1" fillId="7" fontId="4" numFmtId="0" xfId="0" applyAlignment="1" applyBorder="1" applyFill="1" applyFont="1">
      <alignment horizontal="center" shrinkToFit="0" vertical="top" wrapText="1"/>
    </xf>
    <xf borderId="1" fillId="0" fontId="6" numFmtId="3" xfId="0" applyAlignment="1" applyBorder="1" applyFont="1" applyNumberFormat="1">
      <alignment horizontal="center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6" numFmtId="166" xfId="0" applyAlignment="1" applyBorder="1" applyFont="1" applyNumberFormat="1">
      <alignment shrinkToFit="0" vertical="top" wrapText="1"/>
    </xf>
    <xf borderId="1" fillId="0" fontId="7" numFmtId="166" xfId="0" applyAlignment="1" applyBorder="1" applyFont="1" applyNumberFormat="1">
      <alignment shrinkToFit="0" vertical="top" wrapText="1"/>
    </xf>
    <xf borderId="2" fillId="2" fontId="4" numFmtId="0" xfId="0" applyAlignment="1" applyBorder="1" applyFill="1" applyFont="1">
      <alignment horizontal="center" shrinkToFit="0" vertical="center" wrapText="1"/>
    </xf>
    <xf borderId="3" fillId="0" fontId="15" numFmtId="0" xfId="0" applyBorder="1" applyFont="1"/>
    <xf borderId="4" fillId="0" fontId="15" numFmtId="0" xfId="0" applyBorder="1" applyFont="1"/>
    <xf borderId="1" fillId="0" fontId="16" numFmtId="0" xfId="0" applyAlignment="1" applyBorder="1" applyFont="1">
      <alignment shrinkToFit="0" vertical="top" wrapText="1"/>
    </xf>
    <xf borderId="1" fillId="0" fontId="14" numFmtId="3" xfId="0" applyAlignment="1" applyBorder="1" applyFont="1" applyNumberFormat="1">
      <alignment horizontal="center" shrinkToFit="0" vertical="top" wrapText="1"/>
    </xf>
    <xf borderId="2" fillId="0" fontId="7" numFmtId="0" xfId="0" applyAlignment="1" applyBorder="1" applyFont="1">
      <alignment shrinkToFit="0" vertical="top" wrapText="1"/>
    </xf>
    <xf borderId="1" fillId="0" fontId="6" numFmtId="10" xfId="0" applyAlignment="1" applyBorder="1" applyFont="1" applyNumberFormat="1">
      <alignment readingOrder="0" shrinkToFit="0" vertical="top" wrapText="1"/>
    </xf>
    <xf borderId="1" fillId="0" fontId="6" numFmtId="164" xfId="0" applyAlignment="1" applyBorder="1" applyFont="1" applyNumberFormat="1">
      <alignment readingOrder="0" shrinkToFit="0" vertical="top" wrapText="1"/>
    </xf>
    <xf borderId="1" fillId="3" fontId="5" numFmtId="166" xfId="0" applyAlignment="1" applyBorder="1" applyFill="1" applyFont="1" applyNumberFormat="1">
      <alignment shrinkToFit="0" vertical="top" wrapText="1"/>
    </xf>
    <xf borderId="1" fillId="0" fontId="7" numFmtId="169" xfId="0" applyAlignment="1" applyBorder="1" applyFont="1" applyNumberFormat="1">
      <alignment shrinkToFit="0" vertical="top" wrapText="1"/>
    </xf>
    <xf borderId="1" fillId="3" fontId="5" numFmtId="165" xfId="0" applyAlignment="1" applyBorder="1" applyFill="1" applyFont="1" applyNumberFormat="1">
      <alignment shrinkToFit="0" vertical="top" wrapText="1"/>
    </xf>
    <xf borderId="1" fillId="3" fontId="5" numFmtId="164" xfId="0" applyAlignment="1" applyBorder="1" applyFill="1" applyFont="1" applyNumberFormat="1">
      <alignment shrinkToFit="0" vertical="top" wrapText="1"/>
    </xf>
    <xf borderId="1" fillId="3" fontId="5" numFmtId="169" xfId="0" applyAlignment="1" applyBorder="1" applyFill="1" applyFont="1" applyNumberFormat="1">
      <alignment shrinkToFit="0" vertical="top" wrapText="1"/>
    </xf>
    <xf borderId="0" fillId="0" fontId="17" numFmtId="0" xfId="0" applyAlignment="1" applyFont="1">
      <alignment shrinkToFit="0" vertical="top" wrapText="0"/>
    </xf>
    <xf borderId="1" fillId="0" fontId="5" numFmtId="166" xfId="0" applyAlignment="1" applyBorder="1" applyFont="1" applyNumberFormat="1">
      <alignment shrinkToFit="0" vertical="top" wrapText="1"/>
    </xf>
    <xf borderId="0" fillId="0" fontId="18" numFmtId="0" xfId="0" applyAlignment="1" applyFont="1">
      <alignment shrinkToFit="0" vertical="top" wrapText="1"/>
    </xf>
    <xf borderId="5" fillId="4" fontId="8" numFmtId="0" xfId="0" applyAlignment="1" applyBorder="1" applyFill="1" applyFont="1">
      <alignment shrinkToFit="0" vertical="bottom" wrapText="0"/>
    </xf>
    <xf borderId="5" fillId="4" fontId="2" numFmtId="0" xfId="0" applyAlignment="1" applyBorder="1" applyFill="1" applyFont="1">
      <alignment shrinkToFit="0" vertical="bottom" wrapText="0"/>
    </xf>
    <xf borderId="1" fillId="0" fontId="9" numFmtId="0" xfId="0" applyAlignment="1" applyBorder="1" applyFont="1">
      <alignment shrinkToFit="0" vertical="top" wrapText="1"/>
    </xf>
    <xf borderId="1" fillId="0" fontId="9" numFmtId="1" xfId="0" applyAlignment="1" applyBorder="1" applyFont="1" applyNumberFormat="1">
      <alignment horizontal="right" shrinkToFit="0" vertical="top" wrapText="0"/>
    </xf>
    <xf borderId="0" fillId="0" fontId="18" numFmtId="0" xfId="0" applyAlignment="1" applyFont="1">
      <alignment shrinkToFit="0" vertical="bottom" wrapText="0"/>
    </xf>
    <xf borderId="1" fillId="0" fontId="9" numFmtId="0" xfId="0" applyAlignment="1" applyBorder="1" applyFont="1">
      <alignment horizontal="right" shrinkToFit="0" vertical="top" wrapText="0"/>
    </xf>
    <xf borderId="1" fillId="0" fontId="9" numFmtId="167" xfId="0" applyAlignment="1" applyBorder="1" applyFont="1" applyNumberFormat="1">
      <alignment horizontal="right" shrinkToFit="0" vertical="top" wrapText="0"/>
    </xf>
    <xf borderId="1" fillId="0" fontId="14" numFmtId="167" xfId="0" applyAlignment="1" applyBorder="1" applyFont="1" applyNumberFormat="1">
      <alignment horizontal="right" shrinkToFit="0" vertical="top" wrapText="0"/>
    </xf>
    <xf borderId="1" fillId="0" fontId="9" numFmtId="9" xfId="0" applyAlignment="1" applyBorder="1" applyFont="1" applyNumberFormat="1">
      <alignment horizontal="right" shrinkToFit="0" vertical="top" wrapText="0"/>
    </xf>
    <xf borderId="1" fillId="2" fontId="4" numFmtId="0" xfId="0" applyAlignment="1" applyBorder="1" applyFill="1" applyFont="1">
      <alignment shrinkToFit="0" vertical="top" wrapText="1"/>
    </xf>
    <xf borderId="2" fillId="2" fontId="4" numFmtId="0" xfId="0" applyAlignment="1" applyBorder="1" applyFill="1" applyFont="1">
      <alignment shrinkToFit="0" vertical="top" wrapText="1"/>
    </xf>
    <xf borderId="1" fillId="0" fontId="9" numFmtId="0" xfId="0" applyAlignment="1" applyBorder="1" applyFont="1">
      <alignment shrinkToFit="0" vertical="bottom" wrapText="0"/>
    </xf>
    <xf borderId="1" fillId="0" fontId="6" numFmtId="167" xfId="0" applyAlignment="1" applyBorder="1" applyFont="1" applyNumberFormat="1">
      <alignment readingOrder="0" shrinkToFit="0" vertical="bottom" wrapText="0"/>
    </xf>
    <xf borderId="2" fillId="0" fontId="9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horizontal="center" shrinkToFit="0" vertical="top" wrapText="0"/>
    </xf>
    <xf borderId="1" fillId="0" fontId="6" numFmtId="9" xfId="0" applyAlignment="1" applyBorder="1" applyFont="1" applyNumberFormat="1">
      <alignment shrinkToFit="0" vertical="bottom" wrapText="0"/>
    </xf>
    <xf borderId="1" fillId="0" fontId="6" numFmtId="167" xfId="0" applyAlignment="1" applyBorder="1" applyFont="1" applyNumberFormat="1">
      <alignment shrinkToFit="0" vertical="bottom" wrapText="0"/>
    </xf>
    <xf borderId="1" fillId="0" fontId="9" numFmtId="167" xfId="0" applyAlignment="1" applyBorder="1" applyFont="1" applyNumberFormat="1">
      <alignment horizontal="center" shrinkToFit="0" vertical="top" wrapText="0"/>
    </xf>
    <xf borderId="1" fillId="0" fontId="6" numFmtId="0" xfId="0" applyAlignment="1" applyBorder="1" applyFont="1">
      <alignment horizontal="center" shrinkToFit="0" vertical="top" wrapText="0"/>
    </xf>
    <xf borderId="1" fillId="0" fontId="9" numFmtId="9" xfId="0" applyAlignment="1" applyBorder="1" applyFont="1" applyNumberFormat="1">
      <alignment horizontal="center" shrinkToFit="0" vertical="top" wrapText="0"/>
    </xf>
    <xf borderId="1" fillId="0" fontId="9" numFmtId="2" xfId="0" applyAlignment="1" applyBorder="1" applyFont="1" applyNumberFormat="1">
      <alignment horizontal="center" shrinkToFit="0" vertical="top" wrapText="0"/>
    </xf>
    <xf borderId="1" fillId="0" fontId="6" numFmtId="0" xfId="0" applyAlignment="1" applyBorder="1" applyFont="1">
      <alignment shrinkToFit="0" vertical="top" wrapText="1"/>
    </xf>
    <xf borderId="1" fillId="0" fontId="19" numFmtId="0" xfId="0" applyAlignment="1" applyBorder="1" applyFont="1">
      <alignment horizontal="center" shrinkToFit="0" vertical="top" wrapText="0"/>
    </xf>
    <xf borderId="1" fillId="5" fontId="7" numFmtId="0" xfId="0" applyAlignment="1" applyBorder="1" applyFill="1" applyFont="1">
      <alignment shrinkToFit="0" vertical="top" wrapText="1"/>
    </xf>
    <xf borderId="1" fillId="0" fontId="14" numFmtId="0" xfId="0" applyAlignment="1" applyBorder="1" applyFont="1">
      <alignment shrinkToFit="0" vertical="top" wrapText="1"/>
    </xf>
    <xf borderId="1" fillId="3" fontId="5" numFmtId="167" xfId="0" applyAlignment="1" applyBorder="1" applyFill="1" applyFont="1" applyNumberFormat="1">
      <alignment shrinkToFit="0" vertical="top" wrapText="1"/>
    </xf>
    <xf borderId="6" fillId="2" fontId="2" numFmtId="0" xfId="0" applyAlignment="1" applyBorder="1" applyFill="1" applyFont="1">
      <alignment shrinkToFit="0" vertical="bottom" wrapText="0"/>
    </xf>
    <xf borderId="7" fillId="0" fontId="15" numFmtId="0" xfId="0" applyBorder="1" applyFont="1"/>
    <xf borderId="8" fillId="0" fontId="15" numFmtId="0" xfId="0" applyBorder="1" applyFont="1"/>
    <xf borderId="1" fillId="2" fontId="4" numFmtId="0" xfId="0" applyAlignment="1" applyBorder="1" applyFill="1" applyFont="1">
      <alignment shrinkToFit="0" vertical="bottom" wrapText="0"/>
    </xf>
    <xf borderId="1" fillId="0" fontId="7" numFmtId="168" xfId="0" applyAlignment="1" applyBorder="1" applyFont="1" applyNumberFormat="1">
      <alignment shrinkToFit="0" vertical="top" wrapText="1"/>
    </xf>
    <xf borderId="1" fillId="8" fontId="7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2"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Flusso di cassa cumulato (€)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K220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'Business plan'!$B$4:$Q$4</c:f>
            </c:strRef>
          </c:cat>
          <c:val>
            <c:numRef>
              <c:f>'Business plan'!$B$54:$Q$54</c:f>
              <c:numCache/>
            </c:numRef>
          </c:val>
          <c:smooth val="1"/>
        </c:ser>
        <c:axId val="513541123"/>
        <c:axId val="1770029546"/>
      </c:lineChart>
      <c:catAx>
        <c:axId val="5135411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Anno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70029546"/>
      </c:catAx>
      <c:valAx>
        <c:axId val="17700295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1354112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42</xdr:row>
      <xdr:rowOff>38100</xdr:rowOff>
    </xdr:from>
    <xdr:ext cx="6819900" cy="3400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brewtaurus.com/products/k220-3v-brewing-system" TargetMode="External"/><Relationship Id="rId2" Type="http://schemas.openxmlformats.org/officeDocument/2006/relationships/hyperlink" Target="https://brewtaurus.com/products/pf75l-jacketed-conical-fermenter-extra-accessories" TargetMode="External"/><Relationship Id="rId3" Type="http://schemas.openxmlformats.org/officeDocument/2006/relationships/hyperlink" Target="https://brewtaurus.com/products/quantor-minichilly-std-05" TargetMode="External"/><Relationship Id="rId4" Type="http://schemas.openxmlformats.org/officeDocument/2006/relationships/hyperlink" Target="https://brewtaurus.com/products/cip-kit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s://brewtaurus.com/products/hose-kit" TargetMode="External"/><Relationship Id="rId6" Type="http://schemas.openxmlformats.org/officeDocument/2006/relationships/hyperlink" Target="https://brewtaurus.com/products/counterflow-chiller" TargetMode="External"/><Relationship Id="rId7" Type="http://schemas.openxmlformats.org/officeDocument/2006/relationships/hyperlink" Target="https://brewtaurus.com/collections/malt-mill" TargetMode="External"/><Relationship Id="rId8" Type="http://schemas.openxmlformats.org/officeDocument/2006/relationships/hyperlink" Target="https://brewtaurus.com/products/65-watts-high-temperature-magnetic-drive-pump-220-240v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?q=place_id:ChIJP_EV2BsVhkcRn4j6xEmFuo8" TargetMode="External"/><Relationship Id="rId42" Type="http://schemas.openxmlformats.org/officeDocument/2006/relationships/hyperlink" Target="https://www.google.com/maps/place/?q=place_id:ChIJH8loleCtiEcRHRtPkqvduRg" TargetMode="External"/><Relationship Id="rId41" Type="http://schemas.openxmlformats.org/officeDocument/2006/relationships/hyperlink" Target="https://www.google.com/maps/place/?q=place_id:ChIJvycPfT0ThkcRL-2R-H8FunQ" TargetMode="External"/><Relationship Id="rId44" Type="http://schemas.openxmlformats.org/officeDocument/2006/relationships/hyperlink" Target="https://www.google.com/maps/place/?q=place_id:ChIJywc60-OtiEcREOiTnc4Jugg" TargetMode="External"/><Relationship Id="rId43" Type="http://schemas.openxmlformats.org/officeDocument/2006/relationships/hyperlink" Target="https://www.google.com/maps/place/?q=place_id:ChIJa4VxdAOpiEcRn1JLtKcfiGk" TargetMode="External"/><Relationship Id="rId46" Type="http://schemas.openxmlformats.org/officeDocument/2006/relationships/hyperlink" Target="https://www.google.com/maps/place/?q=place_id:ChIJV-3YRPytiEcRuApS1JGivoM" TargetMode="External"/><Relationship Id="rId45" Type="http://schemas.openxmlformats.org/officeDocument/2006/relationships/hyperlink" Target="https://www.google.com/maps/place/?q=place_id:ChIJFXhc0QquiEcRkF7EFFSRo0w" TargetMode="External"/><Relationship Id="rId1" Type="http://schemas.openxmlformats.org/officeDocument/2006/relationships/hyperlink" Target="https://www.google.com/maps/place/?q=place_id:ChIJH8rkT-sFhkcRTyB6La2FhBg" TargetMode="External"/><Relationship Id="rId2" Type="http://schemas.openxmlformats.org/officeDocument/2006/relationships/hyperlink" Target="https://www.google.com/maps/place/?q=place_id:ChIJb95dXFIFhkcRw0K_lX_1CrM" TargetMode="External"/><Relationship Id="rId3" Type="http://schemas.openxmlformats.org/officeDocument/2006/relationships/hyperlink" Target="https://www.google.com/maps/place/?q=place_id:ChIJ_6WUL-sFhkcR_-XBS8kfbHI" TargetMode="External"/><Relationship Id="rId4" Type="http://schemas.openxmlformats.org/officeDocument/2006/relationships/hyperlink" Target="https://www.google.com/maps/place/?q=place_id:ChIJ51XKcgAFhkcRKX3-W4F9uVw" TargetMode="External"/><Relationship Id="rId9" Type="http://schemas.openxmlformats.org/officeDocument/2006/relationships/hyperlink" Target="https://www.google.com/maps/place/?q=place_id:ChIJF2FZG5IFhkcRESDHnSEOj34" TargetMode="External"/><Relationship Id="rId48" Type="http://schemas.openxmlformats.org/officeDocument/2006/relationships/hyperlink" Target="https://www.google.com/maps/place/?q=place_id:ChIJDx7umWYzhkcRg9XiZqwPYrE" TargetMode="External"/><Relationship Id="rId47" Type="http://schemas.openxmlformats.org/officeDocument/2006/relationships/hyperlink" Target="https://www.google.com/maps/place/?q=place_id:ChIJuxFL5VpBhkcRvVY9mbgEQa8" TargetMode="External"/><Relationship Id="rId49" Type="http://schemas.openxmlformats.org/officeDocument/2006/relationships/hyperlink" Target="https://www.google.com/maps/place/?q=place_id:ChIJXWSW7plLhkcRDlJ8YmbjM_Y" TargetMode="External"/><Relationship Id="rId5" Type="http://schemas.openxmlformats.org/officeDocument/2006/relationships/hyperlink" Target="https://www.google.com/maps/place/?q=place_id:ChIJ5aFfFpMFhkcRY8fF6NiXLFk" TargetMode="External"/><Relationship Id="rId6" Type="http://schemas.openxmlformats.org/officeDocument/2006/relationships/hyperlink" Target="https://www.google.com/maps/place/?q=place_id:ChIJ3WVdm5IFhkcR4C2e27znhNY" TargetMode="External"/><Relationship Id="rId7" Type="http://schemas.openxmlformats.org/officeDocument/2006/relationships/hyperlink" Target="https://www.google.com/maps/place/?q=place_id:ChIJ_VRsjpIFhkcRk0DPf7hrE8E" TargetMode="External"/><Relationship Id="rId8" Type="http://schemas.openxmlformats.org/officeDocument/2006/relationships/hyperlink" Target="https://www.google.com/maps/place/?q=place_id:ChIJ_ThkFQAFhkcRR8dSxXIrKBo" TargetMode="External"/><Relationship Id="rId31" Type="http://schemas.openxmlformats.org/officeDocument/2006/relationships/hyperlink" Target="https://www.google.com/maps/place/?q=place_id:ChIJVQiiydapiEcRYGEB-yXkDgA" TargetMode="External"/><Relationship Id="rId30" Type="http://schemas.openxmlformats.org/officeDocument/2006/relationships/hyperlink" Target="https://www.google.com/maps/place/?q=place_id:ChIJ25R4za4WhkcRpwm7lnQZb1w" TargetMode="External"/><Relationship Id="rId33" Type="http://schemas.openxmlformats.org/officeDocument/2006/relationships/hyperlink" Target="https://www.google.com/maps/place/?q=place_id:ChIJ2dlMAXUUhkcR_QzU-3UttDk" TargetMode="External"/><Relationship Id="rId32" Type="http://schemas.openxmlformats.org/officeDocument/2006/relationships/hyperlink" Target="https://www.google.com/maps/place/?q=place_id:ChIJucN5QYWpiEcRarkC8zCG_PE" TargetMode="External"/><Relationship Id="rId35" Type="http://schemas.openxmlformats.org/officeDocument/2006/relationships/hyperlink" Target="https://www.google.com/maps/place/?q=place_id:ChIJP2jtQPxshkcR8zQb7AEeaeQ" TargetMode="External"/><Relationship Id="rId34" Type="http://schemas.openxmlformats.org/officeDocument/2006/relationships/hyperlink" Target="https://www.google.com/maps/place/?q=place_id:ChIJy6UPr9IehkcRn55JRtXbw_0" TargetMode="External"/><Relationship Id="rId37" Type="http://schemas.openxmlformats.org/officeDocument/2006/relationships/hyperlink" Target="https://www.google.com/maps/place/?q=place_id:ChIJ28NuICkVhkcRGpMFxsPorLA" TargetMode="External"/><Relationship Id="rId36" Type="http://schemas.openxmlformats.org/officeDocument/2006/relationships/hyperlink" Target="https://www.google.com/maps/place/?q=place_id:ChIJ47adEcz4hUcRBo4Dliz7K44" TargetMode="External"/><Relationship Id="rId39" Type="http://schemas.openxmlformats.org/officeDocument/2006/relationships/hyperlink" Target="https://www.google.com/maps/place/?q=place_id:ChIJjX_KynMVhkcRe4fvJikhC5U" TargetMode="External"/><Relationship Id="rId38" Type="http://schemas.openxmlformats.org/officeDocument/2006/relationships/hyperlink" Target="https://www.google.com/maps/place/?q=place_id:ChIJ60hg-hQVhkcR15r3VhOxoJM" TargetMode="External"/><Relationship Id="rId20" Type="http://schemas.openxmlformats.org/officeDocument/2006/relationships/hyperlink" Target="https://www.google.com/maps/place/?q=place_id:ChIJaSjwHJ4RhkcRUMl-iJFWbIQ" TargetMode="External"/><Relationship Id="rId22" Type="http://schemas.openxmlformats.org/officeDocument/2006/relationships/hyperlink" Target="https://www.google.com/maps/place/?q=place_id:ChIJu7GFevIRhkcRT163fswYeFg" TargetMode="External"/><Relationship Id="rId21" Type="http://schemas.openxmlformats.org/officeDocument/2006/relationships/hyperlink" Target="https://www.google.com/maps/place/?q=place_id:ChIJcfcaMigRhkcRzsT-nMr6e3A" TargetMode="External"/><Relationship Id="rId24" Type="http://schemas.openxmlformats.org/officeDocument/2006/relationships/hyperlink" Target="https://www.google.com/maps/place/?q=place_id:ChIJ17NZ9ksRhkcRAZsb77CC7u8" TargetMode="External"/><Relationship Id="rId23" Type="http://schemas.openxmlformats.org/officeDocument/2006/relationships/hyperlink" Target="https://www.google.com/maps/place/?q=place_id:ChIJl5C5wjcRhkcRs_nCDuL1vHE" TargetMode="External"/><Relationship Id="rId26" Type="http://schemas.openxmlformats.org/officeDocument/2006/relationships/hyperlink" Target="https://www.google.com/maps/place/?q=place_id:ChIJ82gw0c0ChkcR0o7eUxtFNQ4" TargetMode="External"/><Relationship Id="rId25" Type="http://schemas.openxmlformats.org/officeDocument/2006/relationships/hyperlink" Target="https://www.google.com/maps/place/?q=place_id:ChIJFVihKwsahkcRPOT7B_ubBvc" TargetMode="External"/><Relationship Id="rId28" Type="http://schemas.openxmlformats.org/officeDocument/2006/relationships/hyperlink" Target="https://www.google.com/maps/place/?q=place_id:ChIJHRJS4TkRhkcRXwYUoTr7rxs" TargetMode="External"/><Relationship Id="rId27" Type="http://schemas.openxmlformats.org/officeDocument/2006/relationships/hyperlink" Target="https://www.google.com/maps/place/?q=place_id:ChIJO1tPZZARhkcRk-8wfWzoUPY" TargetMode="External"/><Relationship Id="rId29" Type="http://schemas.openxmlformats.org/officeDocument/2006/relationships/hyperlink" Target="https://www.google.com/maps/place/?q=place_id:ChIJYWFU7lwVhkcRhcRSIhwE2iw" TargetMode="External"/><Relationship Id="rId51" Type="http://schemas.openxmlformats.org/officeDocument/2006/relationships/hyperlink" Target="https://www.google.com/maps/place/?q=place_id:ChIJMeBL0XYZhkcRjQco6cTpkWc" TargetMode="External"/><Relationship Id="rId50" Type="http://schemas.openxmlformats.org/officeDocument/2006/relationships/hyperlink" Target="https://www.google.com/maps/place/?q=place_id:ChIJ9WBfGCsOhkcRAgsSjWShzUA" TargetMode="External"/><Relationship Id="rId53" Type="http://schemas.openxmlformats.org/officeDocument/2006/relationships/hyperlink" Target="https://www.google.com/maps/place/?q=place_id:ChIJr-HX46QUhkcRygT6sJnn_y4" TargetMode="External"/><Relationship Id="rId52" Type="http://schemas.openxmlformats.org/officeDocument/2006/relationships/hyperlink" Target="https://www.google.com/maps/place/?q=place_id:ChIJ____k22uiEcRWDY7Cfy1-y0" TargetMode="External"/><Relationship Id="rId11" Type="http://schemas.openxmlformats.org/officeDocument/2006/relationships/hyperlink" Target="https://www.google.com/maps/place/?q=place_id:ChIJw3f8NxeniEcRzViP1KZ51YM" TargetMode="External"/><Relationship Id="rId55" Type="http://schemas.openxmlformats.org/officeDocument/2006/relationships/hyperlink" Target="https://www.google.com/maps/place/?q=place_id:ChIJLcbWoKRphkcRCnUVYvqNi4Q" TargetMode="External"/><Relationship Id="rId10" Type="http://schemas.openxmlformats.org/officeDocument/2006/relationships/hyperlink" Target="https://www.google.com/maps/place/?q=place_id:ChIJZxNKlXwFhkcRJpwi5GbeT3w" TargetMode="External"/><Relationship Id="rId54" Type="http://schemas.openxmlformats.org/officeDocument/2006/relationships/hyperlink" Target="https://www.google.com/maps/place/?q=place_id:ChIJfYI2wt4VhkcRQpw2Yy64yDw" TargetMode="External"/><Relationship Id="rId13" Type="http://schemas.openxmlformats.org/officeDocument/2006/relationships/hyperlink" Target="https://www.google.com/maps/place/?q=place_id:ChIJfaxHjLwGhkcRfsIUlJyQFho" TargetMode="External"/><Relationship Id="rId57" Type="http://schemas.openxmlformats.org/officeDocument/2006/relationships/hyperlink" Target="https://www.google.com/maps/place/?q=place_id:ChIJU_SK_XdahkcRzUiypxfXqJY" TargetMode="External"/><Relationship Id="rId12" Type="http://schemas.openxmlformats.org/officeDocument/2006/relationships/hyperlink" Target="https://www.google.com/maps/place/?q=place_id:ChIJiebGqeoFhkcRwbl04fxOqkM" TargetMode="External"/><Relationship Id="rId56" Type="http://schemas.openxmlformats.org/officeDocument/2006/relationships/hyperlink" Target="https://www.google.com/maps/place/?q=place_id:ChIJp2ImzxUjhkcRp2JjeRL7jqM" TargetMode="External"/><Relationship Id="rId15" Type="http://schemas.openxmlformats.org/officeDocument/2006/relationships/hyperlink" Target="https://www.google.com/maps/place/?q=place_id:ChIJ1e4f_xUChkcRgu1cjGjUbsY" TargetMode="External"/><Relationship Id="rId14" Type="http://schemas.openxmlformats.org/officeDocument/2006/relationships/hyperlink" Target="https://www.google.com/maps/place/?q=place_id:ChIJ308g740GhkcRAn338cwRLLU" TargetMode="External"/><Relationship Id="rId58" Type="http://schemas.openxmlformats.org/officeDocument/2006/relationships/drawing" Target="../drawings/drawing11.xml"/><Relationship Id="rId17" Type="http://schemas.openxmlformats.org/officeDocument/2006/relationships/hyperlink" Target="https://www.google.com/maps/place/?q=place_id:ChIJjxR5T_YQhkcRYSvRCQY3Ggs" TargetMode="External"/><Relationship Id="rId16" Type="http://schemas.openxmlformats.org/officeDocument/2006/relationships/hyperlink" Target="https://www.google.com/maps/place/?q=place_id:ChIJYZjlm_cQhkcRr3XNacHwWnk" TargetMode="External"/><Relationship Id="rId19" Type="http://schemas.openxmlformats.org/officeDocument/2006/relationships/hyperlink" Target="https://www.google.com/maps/place/?q=place_id:ChIJ_2NR2_kQhkcRUOxZTs6ucjE" TargetMode="External"/><Relationship Id="rId18" Type="http://schemas.openxmlformats.org/officeDocument/2006/relationships/hyperlink" Target="https://www.google.com/maps/place/?q=place_id:ChIJDfcicQsRhkcR9Taxlj8M9fU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brewtaurus.com/" TargetMode="External"/><Relationship Id="rId2" Type="http://schemas.openxmlformats.org/officeDocument/2006/relationships/hyperlink" Target="https://brewtaurus.com/collections/pro-unitanks" TargetMode="External"/><Relationship Id="rId3" Type="http://schemas.openxmlformats.org/officeDocument/2006/relationships/hyperlink" Target="https://www.beverfood.com/legge-bilancio-2026-riduzione-accise-birra/" TargetMode="External"/><Relationship Id="rId4" Type="http://schemas.openxmlformats.org/officeDocument/2006/relationships/hyperlink" Target="https://www.lacasettacraftbeercrew.it/accise-sulla-birra-in-italia-come-calcolarle-e-le-agevolazioni-per-i-microbirrifici/" TargetMode="External"/><Relationship Id="rId9" Type="http://schemas.openxmlformats.org/officeDocument/2006/relationships/hyperlink" Target="https://www.birrartigianale.com/it/legge-birra-artigianale/" TargetMode="External"/><Relationship Id="rId5" Type="http://schemas.openxmlformats.org/officeDocument/2006/relationships/hyperlink" Target="https://www.fiscodiprossimita.it/accise-e-piccoli-birrifici-artigianali/" TargetMode="External"/><Relationship Id="rId6" Type="http://schemas.openxmlformats.org/officeDocument/2006/relationships/hyperlink" Target="https://www.confagricolturaro.it/confagricoltura-informa/fiscale/redditi-imposte-e-tasse/ridotte-le-accise-per-i-birrifici-artigianali-e-agricoli/" TargetMode="External"/><Relationship Id="rId7" Type="http://schemas.openxmlformats.org/officeDocument/2006/relationships/hyperlink" Target="https://www.lacasettacraftbeercrew.it/taproom-quali-permessi-sono-necessari/" TargetMode="External"/><Relationship Id="rId8" Type="http://schemas.openxmlformats.org/officeDocument/2006/relationships/hyperlink" Target="https://www.softwarebusinessplan.it/come-aprire-microbirrificio/" TargetMode="External"/><Relationship Id="rId20" Type="http://schemas.openxmlformats.org/officeDocument/2006/relationships/hyperlink" Target="https://edotto.com/articolo/fondo-di-garanzia-pmi-2026-confermate-regole-coperture-e-accesso-al-credito" TargetMode="External"/><Relationship Id="rId22" Type="http://schemas.openxmlformats.org/officeDocument/2006/relationships/hyperlink" Target="https://quifinanza.it/economia/finanza/prestiti-mutui-piccoli-importi-tassi-956/1017651/" TargetMode="External"/><Relationship Id="rId21" Type="http://schemas.openxmlformats.org/officeDocument/2006/relationships/hyperlink" Target="https://www.finpiemonte.it/sites/default/files/Banche/Scheda%20banche%20LR32-23%20AUTOIMPIEGO.pdf" TargetMode="External"/><Relationship Id="rId24" Type="http://schemas.openxmlformats.org/officeDocument/2006/relationships/hyperlink" Target="https://www.bancamediolanum.it/static-assets/documenti/file/it/2026/07/24//FI_Prestito_Fondo_Garanzia.pdf" TargetMode="External"/><Relationship Id="rId23" Type="http://schemas.openxmlformats.org/officeDocument/2006/relationships/hyperlink" Target="https://www.global-rates.com/it/tassi-di-interesse/euribor/storico/2026/?id=3" TargetMode="External"/><Relationship Id="rId25" Type="http://schemas.openxmlformats.org/officeDocument/2006/relationships/drawing" Target="../drawings/drawing13.xml"/><Relationship Id="rId11" Type="http://schemas.openxmlformats.org/officeDocument/2006/relationships/hyperlink" Target="https://ilmiobusinessplan.com/blogs/news/mercato-birra-artigianale" TargetMode="External"/><Relationship Id="rId10" Type="http://schemas.openxmlformats.org/officeDocument/2006/relationships/hyperlink" Target="https://cronachedibirra.it/media-libri-e-pubblicazioni/88136/annual-report-2025-di-assobirra-dati-negativi-e-mercato-della-birra-ancora-in-calo/" TargetMode="External"/><Relationship Id="rId13" Type="http://schemas.openxmlformats.org/officeDocument/2006/relationships/hyperlink" Target="https://www.lacasettacraftbeercrew.it/dove-costano-poco-le-birre/" TargetMode="External"/><Relationship Id="rId12" Type="http://schemas.openxmlformats.org/officeDocument/2006/relationships/hyperlink" Target="https://www.fermentobirra.com/quanto-costa-fare-la-birra/" TargetMode="External"/><Relationship Id="rId15" Type="http://schemas.openxmlformats.org/officeDocument/2006/relationships/hyperlink" Target="https://flextax.it/commercialisti-online/se-ho-unimpresa-familiare-con-coadiuvante-posso-accedere-al-forfettario/" TargetMode="External"/><Relationship Id="rId14" Type="http://schemas.openxmlformats.org/officeDocument/2006/relationships/hyperlink" Target="https://www.ecnews.it/fiscale/in-pratica/guida-agli-adempimenti/i-contributi-inps-artigiani-e-commercianti-per-il-2026/" TargetMode="External"/><Relationship Id="rId17" Type="http://schemas.openxmlformats.org/officeDocument/2006/relationships/hyperlink" Target="https://www.reteagevolazioni.it/bando-resto-al-sud-2-0/" TargetMode="External"/><Relationship Id="rId16" Type="http://schemas.openxmlformats.org/officeDocument/2006/relationships/hyperlink" Target="https://www.leggioggi.it/autoimpiego-centro-nord-come-funziona/" TargetMode="External"/><Relationship Id="rId19" Type="http://schemas.openxmlformats.org/officeDocument/2006/relationships/hyperlink" Target="https://macerata.cna.it/wp-content/uploads/mc.cna.it/2026/09/Scheda-nazionale-Bando-NUOVA-SABATINI-2026.pdf" TargetMode="External"/><Relationship Id="rId18" Type="http://schemas.openxmlformats.org/officeDocument/2006/relationships/hyperlink" Target="https://www.partitaiva.it/smartstart-italia-2026/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10.0"/>
    <col customWidth="1" min="3" max="6" width="8.71"/>
  </cols>
  <sheetData>
    <row r="1" ht="18.0" customHeight="1">
      <c r="A1" s="1" t="s">
        <v>0</v>
      </c>
      <c r="B1" s="2"/>
      <c r="C1" s="2"/>
      <c r="D1" s="2"/>
      <c r="E1" s="2"/>
      <c r="F1" s="2"/>
    </row>
    <row r="2" ht="15.0" customHeight="1">
      <c r="A2" s="3" t="str">
        <f>"Vendite a regime: "&amp;Parametri!C19&amp;" fusti e "&amp;Parametri!C20&amp;" bottiglie all'anno ("&amp;ROUND(Parametri!C26*100,0)&amp;"% del volume in fusti). Preparato il 06/10/2026, aggiornato il 07/10/2026 (mutuo, 15 anni, clienti, vendite in n. di fusti e bottiglie)."</f>
        <v>Vendite a regime: 144 fusti e 3300 bottiglie all'anno (80% del volume in fusti). Preparato il 06/10/2026, aggiornato il 07/10/2026 (mutuo, 15 anni, clienti, vendite in n. di fusti e bottiglie).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 ht="15.0" customHeight="1">
      <c r="A4" s="9" t="s">
        <v>36</v>
      </c>
      <c r="B4" s="10"/>
      <c r="C4" s="2"/>
      <c r="D4" s="2"/>
      <c r="E4" s="2"/>
      <c r="F4" s="2"/>
    </row>
    <row r="5" ht="15.0" customHeight="1">
      <c r="A5" s="11" t="s">
        <v>47</v>
      </c>
      <c r="B5" s="10" t="s">
        <v>52</v>
      </c>
      <c r="C5" s="2"/>
      <c r="D5" s="2"/>
      <c r="E5" s="2"/>
      <c r="F5" s="2"/>
    </row>
    <row r="6" ht="15.0" customHeight="1">
      <c r="A6" s="11" t="s">
        <v>56</v>
      </c>
      <c r="B6" s="10" t="s">
        <v>58</v>
      </c>
      <c r="C6" s="2"/>
      <c r="D6" s="2"/>
      <c r="E6" s="2"/>
      <c r="F6" s="2"/>
    </row>
    <row r="7" ht="15.0" customHeight="1">
      <c r="A7" s="11" t="s">
        <v>65</v>
      </c>
      <c r="B7" s="10" t="s">
        <v>67</v>
      </c>
      <c r="C7" s="2"/>
      <c r="D7" s="2"/>
      <c r="E7" s="2"/>
      <c r="F7" s="2"/>
    </row>
    <row r="8" ht="15.0" customHeight="1">
      <c r="A8" s="11" t="s">
        <v>71</v>
      </c>
      <c r="B8" s="10" t="s">
        <v>74</v>
      </c>
      <c r="C8" s="2"/>
      <c r="D8" s="2"/>
      <c r="E8" s="2"/>
      <c r="F8" s="2"/>
    </row>
    <row r="9" ht="15.0" customHeight="1">
      <c r="A9" s="11" t="s">
        <v>80</v>
      </c>
      <c r="B9" s="10" t="s">
        <v>82</v>
      </c>
      <c r="C9" s="2"/>
      <c r="D9" s="2"/>
      <c r="E9" s="2"/>
      <c r="F9" s="2"/>
    </row>
    <row r="10" ht="15.0" customHeight="1">
      <c r="A10" s="11" t="s">
        <v>84</v>
      </c>
      <c r="B10" s="10" t="s">
        <v>86</v>
      </c>
      <c r="C10" s="2"/>
      <c r="D10" s="2"/>
      <c r="E10" s="2"/>
      <c r="F10" s="2"/>
    </row>
    <row r="11" ht="15.0" customHeight="1">
      <c r="A11" s="11" t="s">
        <v>91</v>
      </c>
      <c r="B11" s="10" t="s">
        <v>94</v>
      </c>
      <c r="C11" s="2"/>
      <c r="D11" s="2"/>
      <c r="E11" s="2"/>
      <c r="F11" s="2"/>
    </row>
    <row r="12" ht="15.0" customHeight="1">
      <c r="A12" s="11" t="s">
        <v>97</v>
      </c>
      <c r="B12" s="10" t="s">
        <v>100</v>
      </c>
      <c r="C12" s="2"/>
      <c r="D12" s="2"/>
      <c r="E12" s="2"/>
      <c r="F12" s="2"/>
    </row>
    <row r="13" ht="15.0" customHeight="1">
      <c r="A13" s="11" t="s">
        <v>102</v>
      </c>
      <c r="B13" s="10" t="s">
        <v>104</v>
      </c>
      <c r="C13" s="2"/>
      <c r="D13" s="2"/>
      <c r="E13" s="2"/>
      <c r="F13" s="2"/>
    </row>
    <row r="14" ht="15.0" customHeight="1">
      <c r="A14" s="11" t="s">
        <v>107</v>
      </c>
      <c r="B14" s="10" t="s">
        <v>108</v>
      </c>
      <c r="C14" s="2"/>
      <c r="D14" s="2"/>
      <c r="E14" s="2"/>
      <c r="F14" s="2"/>
    </row>
    <row r="15" ht="15.0" customHeight="1">
      <c r="A15" s="11" t="s">
        <v>112</v>
      </c>
      <c r="B15" s="10" t="s">
        <v>113</v>
      </c>
      <c r="C15" s="2"/>
      <c r="D15" s="2"/>
      <c r="E15" s="2"/>
      <c r="F15" s="2"/>
    </row>
    <row r="16" ht="15.0" customHeight="1">
      <c r="A16" s="11" t="s">
        <v>117</v>
      </c>
      <c r="B16" s="10" t="s">
        <v>119</v>
      </c>
      <c r="C16" s="2"/>
      <c r="D16" s="2"/>
      <c r="E16" s="2"/>
      <c r="F16" s="2"/>
    </row>
    <row r="17" ht="15.0" customHeight="1">
      <c r="A17" s="11" t="s">
        <v>122</v>
      </c>
      <c r="B17" s="10" t="s">
        <v>124</v>
      </c>
      <c r="C17" s="2"/>
      <c r="D17" s="2"/>
      <c r="E17" s="2"/>
      <c r="F17" s="2"/>
    </row>
    <row r="18" ht="15.0" customHeight="1">
      <c r="A18" s="11"/>
      <c r="B18" s="10"/>
      <c r="C18" s="2"/>
      <c r="D18" s="2"/>
      <c r="E18" s="2"/>
      <c r="F18" s="2"/>
    </row>
    <row r="19" ht="15.0" customHeight="1">
      <c r="A19" s="9" t="s">
        <v>132</v>
      </c>
      <c r="B19" s="10"/>
      <c r="C19" s="2"/>
      <c r="D19" s="2"/>
      <c r="E19" s="2"/>
      <c r="F19" s="2"/>
    </row>
    <row r="20" ht="15.0" customHeight="1">
      <c r="A20" s="14" t="s">
        <v>138</v>
      </c>
      <c r="B20" s="10" t="s">
        <v>141</v>
      </c>
      <c r="C20" s="2"/>
      <c r="D20" s="2"/>
      <c r="E20" s="2"/>
      <c r="F20" s="2"/>
    </row>
    <row r="21" ht="15.0" customHeight="1">
      <c r="A21" s="11" t="s">
        <v>143</v>
      </c>
      <c r="B21" s="10" t="s">
        <v>144</v>
      </c>
      <c r="C21" s="2"/>
      <c r="D21" s="2"/>
      <c r="E21" s="2"/>
      <c r="F21" s="2"/>
    </row>
    <row r="22" ht="15.75" customHeight="1">
      <c r="A22" s="16" t="s">
        <v>148</v>
      </c>
      <c r="B22" s="10" t="s">
        <v>149</v>
      </c>
      <c r="C22" s="2"/>
      <c r="D22" s="2"/>
      <c r="E22" s="2"/>
      <c r="F22" s="2"/>
    </row>
    <row r="23" ht="15.75" customHeight="1">
      <c r="A23" s="11"/>
      <c r="B23" s="10"/>
      <c r="C23" s="2"/>
      <c r="D23" s="2"/>
      <c r="E23" s="2"/>
      <c r="F23" s="2"/>
    </row>
    <row r="24" ht="15.75" customHeight="1">
      <c r="A24" s="9" t="s">
        <v>151</v>
      </c>
      <c r="B24" s="10"/>
      <c r="C24" s="2"/>
      <c r="D24" s="2"/>
      <c r="E24" s="2"/>
      <c r="F24" s="2"/>
    </row>
    <row r="25" ht="15.75" customHeight="1">
      <c r="A25" s="11" t="s">
        <v>152</v>
      </c>
      <c r="B25" s="10" t="s">
        <v>153</v>
      </c>
      <c r="C25" s="2"/>
      <c r="D25" s="2"/>
      <c r="E25" s="2"/>
      <c r="F25" s="2"/>
    </row>
    <row r="26" ht="15.75" customHeight="1">
      <c r="A26" s="11" t="s">
        <v>155</v>
      </c>
      <c r="B26" s="10" t="s">
        <v>156</v>
      </c>
      <c r="C26" s="2"/>
      <c r="D26" s="2"/>
      <c r="E26" s="2"/>
      <c r="F26" s="2"/>
    </row>
    <row r="27" ht="15.75" customHeight="1">
      <c r="A27" s="11" t="s">
        <v>158</v>
      </c>
      <c r="B27" s="10" t="s">
        <v>160</v>
      </c>
      <c r="C27" s="2"/>
      <c r="D27" s="2"/>
      <c r="E27" s="2"/>
      <c r="F27" s="2"/>
    </row>
    <row r="28" ht="15.75" customHeight="1">
      <c r="A28" s="11" t="s">
        <v>162</v>
      </c>
      <c r="B28" s="10" t="s">
        <v>164</v>
      </c>
      <c r="C28" s="2"/>
      <c r="D28" s="2"/>
      <c r="E28" s="2"/>
      <c r="F28" s="2"/>
    </row>
    <row r="29" ht="15.75" customHeight="1">
      <c r="A29" s="11" t="s">
        <v>167</v>
      </c>
      <c r="B29" s="10" t="s">
        <v>169</v>
      </c>
      <c r="C29" s="2"/>
      <c r="D29" s="2"/>
      <c r="E29" s="2"/>
      <c r="F29" s="2"/>
    </row>
    <row r="30" ht="15.75" customHeight="1">
      <c r="A30" s="11"/>
      <c r="B30" s="10"/>
      <c r="C30" s="2"/>
      <c r="D30" s="2"/>
      <c r="E30" s="2"/>
      <c r="F30" s="2"/>
    </row>
    <row r="31" ht="15.75" customHeight="1">
      <c r="A31" s="9" t="s">
        <v>174</v>
      </c>
      <c r="B31" s="10"/>
      <c r="C31" s="2"/>
      <c r="D31" s="2"/>
      <c r="E31" s="2"/>
      <c r="F31" s="2"/>
    </row>
    <row r="32" ht="15.75" customHeight="1">
      <c r="A32" s="11" t="s">
        <v>176</v>
      </c>
      <c r="B32" s="10" t="s">
        <v>177</v>
      </c>
      <c r="C32" s="2"/>
      <c r="D32" s="2"/>
      <c r="E32" s="2"/>
      <c r="F32" s="2"/>
    </row>
    <row r="33" ht="15.75" customHeight="1">
      <c r="A33" s="11" t="s">
        <v>180</v>
      </c>
      <c r="B33" s="10" t="s">
        <v>182</v>
      </c>
      <c r="C33" s="2"/>
      <c r="D33" s="2"/>
      <c r="E33" s="2"/>
      <c r="F33" s="2"/>
    </row>
    <row r="34" ht="15.75" customHeight="1">
      <c r="A34" s="11" t="s">
        <v>185</v>
      </c>
      <c r="B34" s="10" t="s">
        <v>186</v>
      </c>
      <c r="C34" s="2"/>
      <c r="D34" s="2"/>
      <c r="E34" s="2"/>
      <c r="F34" s="2"/>
    </row>
    <row r="35" ht="15.75" customHeight="1">
      <c r="A35" s="11" t="s">
        <v>188</v>
      </c>
      <c r="B35" s="10" t="s">
        <v>189</v>
      </c>
      <c r="C35" s="2"/>
      <c r="D35" s="2"/>
      <c r="E35" s="2"/>
      <c r="F35" s="2"/>
    </row>
    <row r="36" ht="15.75" customHeight="1">
      <c r="A36" s="11" t="s">
        <v>191</v>
      </c>
      <c r="B36" s="10" t="s">
        <v>193</v>
      </c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62.0"/>
    <col customWidth="1" min="2" max="2" width="30.0"/>
    <col customWidth="1" min="3" max="3" width="70.0"/>
    <col customWidth="1" min="4" max="6" width="8.71"/>
  </cols>
  <sheetData>
    <row r="1" ht="18.0" customHeight="1">
      <c r="A1" s="1" t="s">
        <v>256</v>
      </c>
      <c r="B1" s="2"/>
      <c r="C1" s="2"/>
      <c r="D1" s="2"/>
      <c r="E1" s="2"/>
      <c r="F1" s="2"/>
    </row>
    <row r="2" ht="15.0" customHeight="1">
      <c r="A2" s="3" t="s">
        <v>257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 ht="15.0" customHeight="1">
      <c r="A4" s="4" t="s">
        <v>5</v>
      </c>
      <c r="B4" s="4" t="s">
        <v>258</v>
      </c>
      <c r="C4" s="4" t="s">
        <v>259</v>
      </c>
      <c r="D4" s="2"/>
      <c r="E4" s="2"/>
      <c r="F4" s="2"/>
    </row>
    <row r="5" ht="15.0" customHeight="1">
      <c r="A5" s="5" t="s">
        <v>260</v>
      </c>
      <c r="B5" s="23">
        <f>'Impianto e costi'!G73</f>
        <v>60311.69118</v>
      </c>
      <c r="C5" s="6" t="s">
        <v>261</v>
      </c>
      <c r="D5" s="2"/>
      <c r="E5" s="2"/>
      <c r="F5" s="2"/>
    </row>
    <row r="6" ht="15.0" customHeight="1">
      <c r="A6" s="6" t="s">
        <v>262</v>
      </c>
      <c r="B6" s="24">
        <f>'Impianto e costi'!G17+'Impianto e costi'!G26+'Impianto e costi'!G34+'Impianto e costi'!G41+'Impianto e costi'!G54</f>
        <v>53123</v>
      </c>
      <c r="C6" s="6"/>
      <c r="D6" s="2"/>
      <c r="E6" s="2"/>
      <c r="F6" s="2"/>
    </row>
    <row r="7" ht="15.0" customHeight="1">
      <c r="A7" s="6" t="s">
        <v>263</v>
      </c>
      <c r="B7" s="24">
        <f>'Impianto e costi'!G66</f>
        <v>4300</v>
      </c>
      <c r="C7" s="6"/>
      <c r="D7" s="2"/>
      <c r="E7" s="2"/>
      <c r="F7" s="2"/>
    </row>
    <row r="8" ht="15.0" customHeight="1">
      <c r="A8" s="6" t="s">
        <v>264</v>
      </c>
      <c r="B8" s="25">
        <f>Parametri!C17</f>
        <v>82.8</v>
      </c>
      <c r="C8" s="6" t="s">
        <v>265</v>
      </c>
      <c r="D8" s="2"/>
      <c r="E8" s="2"/>
      <c r="F8" s="2"/>
    </row>
    <row r="9" ht="15.0" customHeight="1">
      <c r="A9" s="6" t="s">
        <v>266</v>
      </c>
      <c r="B9" s="24">
        <f>'Business plan'!E17</f>
        <v>20298</v>
      </c>
      <c r="C9" s="6"/>
      <c r="D9" s="2"/>
      <c r="E9" s="2"/>
      <c r="F9" s="2"/>
    </row>
    <row r="10" ht="15.0" customHeight="1">
      <c r="A10" s="6" t="s">
        <v>267</v>
      </c>
      <c r="B10" s="24">
        <f>'Business plan'!G17</f>
        <v>23880</v>
      </c>
      <c r="C10" s="6"/>
      <c r="D10" s="2"/>
      <c r="E10" s="2"/>
      <c r="F10" s="2"/>
    </row>
    <row r="11" ht="23.25" customHeight="1">
      <c r="A11" s="5" t="s">
        <v>268</v>
      </c>
      <c r="B11" s="23">
        <f>'Business plan'!G43</f>
        <v>11126.76337</v>
      </c>
      <c r="C11" s="6" t="s">
        <v>269</v>
      </c>
      <c r="D11" s="2"/>
      <c r="E11" s="2"/>
      <c r="F11" s="2"/>
    </row>
    <row r="12" ht="15.0" customHeight="1">
      <c r="A12" s="6" t="s">
        <v>270</v>
      </c>
      <c r="B12" s="24">
        <f>'Business plan'!G47</f>
        <v>4051.46005</v>
      </c>
      <c r="C12" s="6"/>
      <c r="D12" s="2"/>
      <c r="E12" s="2"/>
      <c r="F12" s="2"/>
    </row>
    <row r="13" ht="15.0" customHeight="1">
      <c r="A13" s="6" t="s">
        <v>271</v>
      </c>
      <c r="B13" s="25">
        <f>'Business plan'!G49/Parametri!$C$12</f>
        <v>9.744474638</v>
      </c>
      <c r="C13" s="6" t="s">
        <v>272</v>
      </c>
      <c r="D13" s="2"/>
      <c r="E13" s="2"/>
      <c r="F13" s="2"/>
    </row>
    <row r="14" ht="15.0" customHeight="1">
      <c r="A14" s="5" t="s">
        <v>273</v>
      </c>
      <c r="B14" s="26">
        <f>'Business plan'!B56</f>
        <v>7.867859426</v>
      </c>
      <c r="C14" s="6" t="s">
        <v>274</v>
      </c>
      <c r="D14" s="2"/>
      <c r="E14" s="2"/>
      <c r="F14" s="2"/>
    </row>
    <row r="15" ht="15.0" customHeight="1">
      <c r="A15" s="6" t="s">
        <v>275</v>
      </c>
      <c r="B15" s="24">
        <f>'Business plan'!G43+Parametri!$C$73*12</f>
        <v>11126.76337</v>
      </c>
      <c r="C15" s="6" t="s">
        <v>276</v>
      </c>
      <c r="D15" s="2"/>
      <c r="E15" s="2"/>
      <c r="F15" s="2"/>
    </row>
    <row r="16" ht="15.0" customHeight="1">
      <c r="A16" s="6" t="s">
        <v>277</v>
      </c>
      <c r="B16" s="27">
        <f>IF(B15&gt;0,B5/B15,"non rientra")</f>
        <v>5.420416447</v>
      </c>
      <c r="C16" s="6" t="s">
        <v>278</v>
      </c>
      <c r="D16" s="2"/>
      <c r="E16" s="2"/>
      <c r="F16" s="2"/>
    </row>
    <row r="17" ht="15.0" customHeight="1">
      <c r="A17" s="6" t="s">
        <v>279</v>
      </c>
      <c r="B17" s="28">
        <f>'Break-even'!C12</f>
        <v>1837.658681</v>
      </c>
      <c r="C17" s="6"/>
      <c r="D17" s="2"/>
      <c r="E17" s="2"/>
      <c r="F17" s="2"/>
    </row>
    <row r="18" ht="15.0" customHeight="1">
      <c r="A18" s="5" t="s">
        <v>280</v>
      </c>
      <c r="B18" s="29">
        <f>'Break-even'!C14</f>
        <v>0.2311869315</v>
      </c>
      <c r="C18" s="6" t="s">
        <v>281</v>
      </c>
      <c r="D18" s="2"/>
      <c r="E18" s="2"/>
      <c r="F18" s="2"/>
    </row>
    <row r="19" ht="15.0" customHeight="1">
      <c r="A19" s="6" t="s">
        <v>282</v>
      </c>
      <c r="B19" s="28">
        <f>'Break-even'!C16</f>
        <v>5709.290125</v>
      </c>
      <c r="C19" s="6"/>
      <c r="D19" s="2"/>
      <c r="E19" s="2"/>
      <c r="F19" s="2"/>
    </row>
    <row r="20" ht="15.0" customHeight="1">
      <c r="A20" s="6" t="s">
        <v>280</v>
      </c>
      <c r="B20" s="30">
        <f>'Break-even'!C17</f>
        <v>0.7182581176</v>
      </c>
      <c r="C20" s="6"/>
      <c r="D20" s="2"/>
      <c r="E20" s="2"/>
      <c r="F20" s="2"/>
    </row>
    <row r="21" ht="15.75" customHeight="1">
      <c r="A21" s="6" t="s">
        <v>283</v>
      </c>
      <c r="B21" s="25">
        <f>'Business plan'!G8/100</f>
        <v>54.09</v>
      </c>
      <c r="C21" s="6" t="str">
        <f>"Fusti + bottiglie dei Parametri. Utilizzo della capacità: "&amp;ROUND(Parametri!C32*100,0)&amp;"% (controllo: "&amp;Parametri!C33&amp;")"</f>
        <v>Fusti + bottiglie dei Parametri. Utilizzo della capacità: 68% (controllo: OK)</v>
      </c>
      <c r="D21" s="2"/>
      <c r="E21" s="2"/>
      <c r="F21" s="2"/>
    </row>
    <row r="22" ht="15.75" customHeight="1">
      <c r="A22" s="6" t="s">
        <v>284</v>
      </c>
      <c r="B22" s="24">
        <f>'Business plan'!G43+'Business plan'!G35-2*(Parametri!$C$79*Parametri!$C$78+Parametri!$C$81)</f>
        <v>2084.043371</v>
      </c>
      <c r="C22" s="6" t="s">
        <v>285</v>
      </c>
      <c r="D22" s="2"/>
      <c r="E22" s="2"/>
      <c r="F22" s="2"/>
    </row>
    <row r="23" ht="15.75" customHeight="1">
      <c r="A23" s="6" t="str">
        <f>"Fusti da "&amp;Parametri!C21&amp;" L al mese necessari per il pareggio (stesso mix fusti/bottiglie)"</f>
        <v>Fusti da 30 L al mese necessari per il pareggio (stesso mix fusti/bottiglie)</v>
      </c>
      <c r="B23" s="25">
        <f>IF(ISNUMBER('Break-even'!C12),'Break-even'!C12*Parametri!$C$26/Parametri!$C$21/12,"n/d")</f>
        <v>4.07689114</v>
      </c>
      <c r="C23" s="6" t="s">
        <v>286</v>
      </c>
      <c r="D23" s="2"/>
      <c r="E23" s="2"/>
      <c r="F23" s="2"/>
    </row>
    <row r="24" ht="15.75" customHeight="1">
      <c r="A24" s="21" t="s">
        <v>287</v>
      </c>
      <c r="B24" s="2"/>
      <c r="C24" s="2"/>
      <c r="D24" s="2"/>
      <c r="E24" s="2"/>
      <c r="F24" s="2"/>
    </row>
    <row r="25" ht="15.75" customHeight="1">
      <c r="A25" s="22" t="str">
        <f>"• Un solo impianto: K220 2V (brewhouse da 220 L, batch "&amp;Parametri!C7&amp;" L) con "&amp;Parametri!C8&amp;" UT-200 PRO a rotazione, acqua calda separata per lo sparge e CIP kit manuale. Una cotta a settimana a regime: ≈ "&amp;ROUND(Parametri!C15,0)&amp;" cotte e ≈ "&amp;ROUND(Parametri!C17,0)&amp;" hl di produzione all'anno (vedi foglio Cadenza produzione)."</f>
        <v>• Un solo impianto: K220 2V (brewhouse da 220 L, batch 180 L) con 3 UT-200 PRO a rotazione, acqua calda separata per lo sparge e CIP kit manuale. Una cotta a settimana a regime: ≈ 46 cotte e ≈ 83 hl di produzione all'anno (vedi foglio Cadenza produzione).</v>
      </c>
      <c r="B25" s="2"/>
      <c r="C25" s="2"/>
      <c r="D25" s="2"/>
      <c r="E25" s="2"/>
      <c r="F25" s="2"/>
    </row>
    <row r="26" ht="15.75" customHeight="1">
      <c r="A26" s="22" t="str">
        <f>"• Nei primi anni si vende meno ("&amp;ROUND(Parametri!C39*100,0)&amp;"%, "&amp;ROUND(Parametri!C40*100,0)&amp;"%, "&amp;ROUND(Parametri!C41*100,0)&amp;"% del volume a regime) e la cotta non è settimanale; dal quarto anno si va a regime con circa "&amp;ROUND(Parametri!C22,0)&amp;" fusti da "&amp;Parametri!C21&amp;" L al mese ("&amp;ROUND(Parametri!C22*Parametri!C21,-1)&amp;" L): obiettivo da verificare con preordini ed eventi prima di investire."</f>
        <v>• Nei primi anni si vende meno (40%, 65%, 85% del volume a regime) e la cotta non è settimanale; dal quarto anno si va a regime con circa 12 fusti da 30 L al mese (360 L): obiettivo da verificare con preordini ed eventi prima di investire.</v>
      </c>
      <c r="B26" s="2"/>
      <c r="C26" s="2"/>
      <c r="D26" s="2"/>
      <c r="E26" s="2"/>
      <c r="F26" s="2"/>
    </row>
    <row r="27" ht="15.75" customHeight="1">
      <c r="A27" s="22" t="str">
        <f>"• Il locale è da verificare (Checklist locale) e la quota lavori in Parametri cambia l'investimento. "&amp;IF(Parametri!C77=0,"L'INPS è a 0 perché entrambi avete un altro lavoro: va verificata (la riga 22 mostra cosa succede se è dovuta).","L'INPS è calcolata per "&amp;Parametri!C77&amp;" persone (Parametri riga 66): verificare con commercialista/INPS se è davvero dovuta.")</f>
        <v>• Il locale è da verificare (Checklist locale) e la quota lavori in Parametri cambia l'investimento. L'INPS è a 0 perché entrambi avete un altro lavoro: va verificata (la riga 22 mostra cosa succede se è dovuta).</v>
      </c>
      <c r="B27" s="2"/>
      <c r="C27" s="2"/>
      <c r="D27" s="2"/>
      <c r="E27" s="2"/>
      <c r="F27" s="2"/>
    </row>
    <row r="28" ht="15.75" customHeight="1">
      <c r="A28" s="22" t="s">
        <v>288</v>
      </c>
      <c r="B28" s="2"/>
      <c r="C28" s="2"/>
      <c r="D28" s="2"/>
      <c r="E28" s="2"/>
      <c r="F28" s="2"/>
    </row>
    <row r="29" ht="15.75" customHeight="1">
      <c r="A29" s="22" t="s">
        <v>289</v>
      </c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1" t="s">
        <v>290</v>
      </c>
      <c r="B31" s="2"/>
      <c r="C31" s="2"/>
      <c r="D31" s="2"/>
      <c r="E31" s="2"/>
      <c r="F31" s="2"/>
    </row>
    <row r="32" ht="15.75" customHeight="1">
      <c r="A32" s="6" t="s">
        <v>291</v>
      </c>
      <c r="B32" s="24">
        <f>Parametri!C101</f>
        <v>60311.69118</v>
      </c>
      <c r="C32" s="6" t="s">
        <v>292</v>
      </c>
      <c r="D32" s="2"/>
      <c r="E32" s="2"/>
      <c r="F32" s="2"/>
    </row>
    <row r="33" ht="15.75" customHeight="1">
      <c r="A33" s="6" t="s">
        <v>293</v>
      </c>
      <c r="B33" s="24">
        <f>'Impianto e costi'!G73-Parametri!C101</f>
        <v>0</v>
      </c>
      <c r="C33" s="6" t="s">
        <v>294</v>
      </c>
      <c r="D33" s="2"/>
      <c r="E33" s="2"/>
      <c r="F33" s="2"/>
    </row>
    <row r="34" ht="15.75" customHeight="1">
      <c r="A34" s="6" t="s">
        <v>295</v>
      </c>
      <c r="B34" s="24">
        <f>Parametri!C106</f>
        <v>8403.23849</v>
      </c>
      <c r="C34" s="6" t="s">
        <v>296</v>
      </c>
      <c r="D34" s="2"/>
      <c r="E34" s="2"/>
      <c r="F34" s="2"/>
    </row>
    <row r="35" ht="15.75" customHeight="1">
      <c r="A35" s="6" t="s">
        <v>297</v>
      </c>
      <c r="B35" s="24">
        <f>'Business plan'!B78</f>
        <v>27942.5121</v>
      </c>
      <c r="C35" s="6" t="s">
        <v>298</v>
      </c>
      <c r="D35" s="2"/>
      <c r="E35" s="2"/>
      <c r="F35" s="2"/>
    </row>
    <row r="36" ht="15.75" customHeight="1">
      <c r="A36" s="6" t="s">
        <v>299</v>
      </c>
      <c r="B36" s="31">
        <f>IF(COUNT('Business plan'!C72:Q72)=0,"n/d",MIN('Business plan'!C72:Q72))</f>
        <v>0.240534494</v>
      </c>
      <c r="C36" s="6" t="s">
        <v>300</v>
      </c>
      <c r="D36" s="2"/>
      <c r="E36" s="2"/>
      <c r="F36" s="2"/>
    </row>
    <row r="37" ht="15.75" customHeight="1">
      <c r="A37" s="6" t="s">
        <v>301</v>
      </c>
      <c r="B37" s="24">
        <f>'Business plan'!C71</f>
        <v>-3206.325434</v>
      </c>
      <c r="C37" s="6" t="s">
        <v>302</v>
      </c>
      <c r="D37" s="2"/>
      <c r="E37" s="2"/>
      <c r="F37" s="2"/>
    </row>
    <row r="38" ht="15.75" customHeight="1">
      <c r="A38" s="6" t="s">
        <v>303</v>
      </c>
      <c r="B38" s="24">
        <f>'Business plan'!E71</f>
        <v>75.14245075</v>
      </c>
      <c r="C38" s="6"/>
      <c r="D38" s="2"/>
      <c r="E38" s="2"/>
      <c r="F38" s="2"/>
    </row>
    <row r="39" ht="15.75" customHeight="1">
      <c r="A39" s="6" t="s">
        <v>304</v>
      </c>
      <c r="B39" s="24">
        <f>'Business plan'!G71</f>
        <v>1894.76911</v>
      </c>
      <c r="C39" s="6" t="s">
        <v>305</v>
      </c>
      <c r="D39" s="2"/>
      <c r="E39" s="2"/>
      <c r="F39" s="2"/>
    </row>
    <row r="40" ht="15.75" customHeight="1">
      <c r="A40" s="6" t="s">
        <v>306</v>
      </c>
      <c r="B40" s="24">
        <f>'Business plan'!B77</f>
        <v>6381.041632</v>
      </c>
      <c r="C40" s="6" t="s">
        <v>307</v>
      </c>
      <c r="D40" s="2"/>
      <c r="E40" s="2"/>
      <c r="F40" s="2"/>
    </row>
    <row r="41" ht="15.75" customHeight="1">
      <c r="A41" s="6" t="s">
        <v>308</v>
      </c>
      <c r="B41" s="32">
        <f>'Business plan'!B76</f>
        <v>6.393386023</v>
      </c>
      <c r="C41" s="6" t="s">
        <v>309</v>
      </c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0.0"/>
    <col customWidth="1" min="2" max="4" width="48.0"/>
    <col customWidth="1" min="5" max="6" width="8.71"/>
  </cols>
  <sheetData>
    <row r="1" ht="18.0" customHeight="1">
      <c r="A1" s="1" t="s">
        <v>1</v>
      </c>
      <c r="B1" s="2"/>
      <c r="C1" s="2"/>
      <c r="D1" s="2"/>
      <c r="E1" s="2"/>
      <c r="F1" s="2"/>
    </row>
    <row r="2" ht="15.0" customHeight="1">
      <c r="A2" s="3" t="s">
        <v>3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 ht="15.0" customHeight="1">
      <c r="A4" s="4" t="s">
        <v>5</v>
      </c>
      <c r="B4" s="4" t="s">
        <v>7</v>
      </c>
      <c r="C4" s="4" t="s">
        <v>9</v>
      </c>
      <c r="D4" s="4" t="s">
        <v>10</v>
      </c>
      <c r="E4" s="2"/>
      <c r="F4" s="2"/>
    </row>
    <row r="5" ht="15.0" customHeight="1">
      <c r="A5" s="5" t="s">
        <v>15</v>
      </c>
      <c r="B5" s="7">
        <v>21.2</v>
      </c>
      <c r="C5" s="8" t="s">
        <v>23</v>
      </c>
      <c r="D5" s="6" t="s">
        <v>28</v>
      </c>
      <c r="E5" s="2"/>
      <c r="F5" s="2"/>
    </row>
    <row r="6" ht="15.0" customHeight="1">
      <c r="A6" s="5" t="s">
        <v>33</v>
      </c>
      <c r="B6" s="7">
        <v>16.8</v>
      </c>
      <c r="C6" s="8" t="s">
        <v>23</v>
      </c>
      <c r="D6" s="6" t="s">
        <v>37</v>
      </c>
      <c r="E6" s="2"/>
      <c r="F6" s="2"/>
    </row>
    <row r="7" ht="15.0" customHeight="1">
      <c r="A7" s="5" t="s">
        <v>41</v>
      </c>
      <c r="B7" s="7">
        <v>36.4</v>
      </c>
      <c r="C7" s="8" t="s">
        <v>44</v>
      </c>
      <c r="D7" s="6" t="s">
        <v>45</v>
      </c>
      <c r="E7" s="2"/>
      <c r="F7" s="2"/>
    </row>
    <row r="8" ht="15.0" customHeight="1">
      <c r="A8" s="5" t="s">
        <v>49</v>
      </c>
      <c r="B8" s="12">
        <v>1008.0</v>
      </c>
      <c r="C8" s="8" t="s">
        <v>62</v>
      </c>
      <c r="D8" s="6" t="s">
        <v>64</v>
      </c>
      <c r="E8" s="2"/>
      <c r="F8" s="2"/>
    </row>
    <row r="9" ht="15.0" customHeight="1">
      <c r="A9" s="5" t="s">
        <v>69</v>
      </c>
      <c r="B9" s="12">
        <v>470000.0</v>
      </c>
      <c r="C9" s="8" t="s">
        <v>72</v>
      </c>
      <c r="D9" s="6" t="s">
        <v>73</v>
      </c>
      <c r="E9" s="2"/>
      <c r="F9" s="2"/>
    </row>
    <row r="10" ht="23.25" customHeight="1">
      <c r="A10" s="5" t="s">
        <v>78</v>
      </c>
      <c r="B10" s="13">
        <v>0.022</v>
      </c>
      <c r="C10" s="8" t="s">
        <v>89</v>
      </c>
      <c r="D10" s="6" t="s">
        <v>92</v>
      </c>
      <c r="E10" s="2"/>
      <c r="F10" s="2"/>
    </row>
    <row r="11" ht="15.0" customHeight="1">
      <c r="A11" s="5" t="s">
        <v>98</v>
      </c>
      <c r="B11" s="13">
        <v>0.0389</v>
      </c>
      <c r="C11" s="8" t="s">
        <v>89</v>
      </c>
      <c r="D11" s="6" t="s">
        <v>115</v>
      </c>
      <c r="E11" s="2"/>
      <c r="F11" s="2"/>
    </row>
    <row r="12" ht="15.0" customHeight="1">
      <c r="A12" s="5" t="s">
        <v>120</v>
      </c>
      <c r="B12" s="12">
        <v>3120.0</v>
      </c>
      <c r="C12" s="8" t="s">
        <v>62</v>
      </c>
      <c r="D12" s="6" t="s">
        <v>125</v>
      </c>
      <c r="E12" s="2"/>
      <c r="F12" s="2"/>
    </row>
    <row r="13" ht="34.5" customHeight="1">
      <c r="A13" s="15" t="s">
        <v>134</v>
      </c>
      <c r="B13" s="18">
        <f>B9/B8</f>
        <v>466.2698413</v>
      </c>
      <c r="C13" s="19" t="s">
        <v>173</v>
      </c>
      <c r="D13" s="20" t="s">
        <v>183</v>
      </c>
      <c r="E13" s="2"/>
      <c r="F13" s="2"/>
    </row>
    <row r="14">
      <c r="A14" s="2"/>
      <c r="B14" s="2"/>
      <c r="C14" s="2"/>
      <c r="D14" s="2"/>
      <c r="E14" s="2"/>
      <c r="F14" s="2"/>
    </row>
    <row r="15" ht="15.0" customHeight="1">
      <c r="A15" s="4" t="s">
        <v>194</v>
      </c>
      <c r="B15" s="4" t="s">
        <v>196</v>
      </c>
      <c r="C15" s="4" t="s">
        <v>197</v>
      </c>
      <c r="D15" s="4" t="s">
        <v>10</v>
      </c>
      <c r="E15" s="2"/>
      <c r="F15" s="2"/>
    </row>
    <row r="16" ht="15.0" customHeight="1">
      <c r="A16" s="5" t="s">
        <v>200</v>
      </c>
      <c r="B16" s="7">
        <v>3.0</v>
      </c>
      <c r="C16" s="7">
        <v>5.0</v>
      </c>
      <c r="D16" s="6" t="s">
        <v>203</v>
      </c>
      <c r="E16" s="2"/>
      <c r="F16" s="2"/>
    </row>
    <row r="17" ht="15.0" customHeight="1">
      <c r="A17" s="5" t="s">
        <v>206</v>
      </c>
      <c r="B17" s="7">
        <v>6.0</v>
      </c>
      <c r="C17" s="7">
        <v>12.0</v>
      </c>
      <c r="D17" s="6" t="s">
        <v>209</v>
      </c>
      <c r="E17" s="2"/>
      <c r="F17" s="2"/>
    </row>
    <row r="18" ht="15.0" customHeight="1">
      <c r="A18" s="5" t="s">
        <v>212</v>
      </c>
      <c r="B18" s="7">
        <v>4.0</v>
      </c>
      <c r="C18" s="7">
        <v>6.0</v>
      </c>
      <c r="D18" s="6" t="s">
        <v>215</v>
      </c>
      <c r="E18" s="2"/>
      <c r="F18" s="2"/>
    </row>
    <row r="19" ht="15.0" customHeight="1">
      <c r="A19" s="5" t="s">
        <v>218</v>
      </c>
      <c r="B19" s="7">
        <v>10.0</v>
      </c>
      <c r="C19" s="7">
        <v>10.0</v>
      </c>
      <c r="D19" s="6" t="s">
        <v>221</v>
      </c>
      <c r="E19" s="2"/>
      <c r="F19" s="2"/>
    </row>
    <row r="20" ht="23.25" customHeight="1">
      <c r="A20" s="5" t="s">
        <v>224</v>
      </c>
      <c r="B20" s="7">
        <v>89.0</v>
      </c>
      <c r="C20" s="7">
        <v>160.0</v>
      </c>
      <c r="D20" s="6" t="s">
        <v>225</v>
      </c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1" t="s">
        <v>227</v>
      </c>
      <c r="B22" s="2"/>
      <c r="C22" s="2"/>
      <c r="D22" s="2"/>
      <c r="E22" s="2"/>
      <c r="F22" s="2"/>
    </row>
    <row r="23" ht="15.75" customHeight="1">
      <c r="A23" s="22" t="s">
        <v>230</v>
      </c>
      <c r="B23" s="2"/>
      <c r="C23" s="2"/>
      <c r="D23" s="2"/>
      <c r="E23" s="2"/>
      <c r="F23" s="2"/>
    </row>
    <row r="24" ht="15.75" customHeight="1">
      <c r="A24" s="22" t="s">
        <v>232</v>
      </c>
      <c r="B24" s="2"/>
      <c r="C24" s="2"/>
      <c r="D24" s="2"/>
      <c r="E24" s="2"/>
      <c r="F24" s="2"/>
    </row>
    <row r="25" ht="15.75" customHeight="1">
      <c r="A25" s="22" t="s">
        <v>234</v>
      </c>
      <c r="B25" s="2"/>
      <c r="C25" s="2"/>
      <c r="D25" s="2"/>
      <c r="E25" s="2"/>
      <c r="F25" s="2"/>
    </row>
    <row r="26" ht="15.75" customHeight="1">
      <c r="A26" s="22" t="s">
        <v>236</v>
      </c>
      <c r="B26" s="2"/>
      <c r="C26" s="2"/>
      <c r="D26" s="2"/>
      <c r="E26" s="2"/>
      <c r="F26" s="2"/>
    </row>
    <row r="27" ht="15.75" customHeight="1">
      <c r="A27" s="22" t="str">
        <f>"• Canali: pub, ristoranti, enoteche, beer shop, mercati, eventi, vendita diretta e taproom. Il fusto è il canale principale ("&amp;ROUND(Parametri!C26*100,0)&amp;"% del volume nel modello) ma ha il prezzo più basso."</f>
        <v>• Canali: pub, ristoranti, enoteche, beer shop, mercati, eventi, vendita diretta e taproom. Il fusto è il canale principale (80% del volume nel modello) ma ha il prezzo più basso.</v>
      </c>
      <c r="B27" s="2"/>
      <c r="C27" s="2"/>
      <c r="D27" s="2"/>
      <c r="E27" s="2"/>
      <c r="F27" s="2"/>
    </row>
    <row r="28" ht="15.75" customHeight="1">
      <c r="A28" s="22" t="s">
        <v>237</v>
      </c>
      <c r="B28" s="2"/>
      <c r="C28" s="2"/>
      <c r="D28" s="2"/>
      <c r="E28" s="2"/>
      <c r="F28" s="2"/>
    </row>
    <row r="29" ht="15.75" customHeight="1">
      <c r="A29" s="22" t="s">
        <v>238</v>
      </c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1" t="s">
        <v>239</v>
      </c>
      <c r="B31" s="2"/>
      <c r="C31" s="2"/>
      <c r="D31" s="2"/>
      <c r="E31" s="2"/>
      <c r="F31" s="2"/>
    </row>
    <row r="32" ht="15.75" customHeight="1">
      <c r="A32" s="4" t="s">
        <v>240</v>
      </c>
      <c r="B32" s="4" t="s">
        <v>241</v>
      </c>
      <c r="C32" s="4" t="s">
        <v>242</v>
      </c>
      <c r="D32" s="4" t="s">
        <v>243</v>
      </c>
      <c r="E32" s="2"/>
      <c r="F32" s="2"/>
    </row>
    <row r="33" ht="60.0" customHeight="1">
      <c r="A33" s="6" t="s">
        <v>244</v>
      </c>
      <c r="B33" s="6" t="s">
        <v>245</v>
      </c>
      <c r="C33" s="6" t="s">
        <v>246</v>
      </c>
      <c r="D33" s="6" t="s">
        <v>247</v>
      </c>
      <c r="E33" s="2"/>
      <c r="F33" s="2"/>
    </row>
    <row r="34" ht="60.0" customHeight="1">
      <c r="A34" s="6" t="s">
        <v>248</v>
      </c>
      <c r="B34" s="6" t="s">
        <v>249</v>
      </c>
      <c r="C34" s="6" t="s">
        <v>250</v>
      </c>
      <c r="D34" s="6" t="s">
        <v>251</v>
      </c>
      <c r="E34" s="2"/>
      <c r="F34" s="2"/>
    </row>
    <row r="35" ht="60.0" customHeight="1">
      <c r="A35" s="6" t="s">
        <v>252</v>
      </c>
      <c r="B35" s="6" t="s">
        <v>253</v>
      </c>
      <c r="C35" s="6" t="s">
        <v>254</v>
      </c>
      <c r="D35" s="6" t="s">
        <v>255</v>
      </c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30.0"/>
    <col customWidth="1" min="3" max="3" width="70.0"/>
    <col customWidth="1" min="4" max="4" width="22.0"/>
    <col customWidth="1" min="5" max="5" width="24.0"/>
    <col customWidth="1" min="6" max="6" width="60.0"/>
  </cols>
  <sheetData>
    <row r="1" ht="18.0" customHeight="1">
      <c r="A1" s="1" t="s">
        <v>2</v>
      </c>
      <c r="B1" s="2"/>
      <c r="C1" s="2"/>
      <c r="D1" s="2"/>
      <c r="E1" s="2"/>
      <c r="F1" s="2"/>
    </row>
    <row r="2" ht="15.0" customHeight="1">
      <c r="A2" s="3" t="s">
        <v>4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 ht="15.0" customHeight="1">
      <c r="A4" s="4" t="s">
        <v>6</v>
      </c>
      <c r="B4" s="4" t="s">
        <v>8</v>
      </c>
      <c r="C4" s="4" t="s">
        <v>11</v>
      </c>
      <c r="D4" s="4" t="s">
        <v>12</v>
      </c>
      <c r="E4" s="4" t="s">
        <v>13</v>
      </c>
      <c r="F4" s="4" t="s">
        <v>14</v>
      </c>
    </row>
    <row r="5" ht="61.5" customHeight="1">
      <c r="A5" s="5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</row>
    <row r="6" ht="61.5" customHeight="1">
      <c r="A6" s="5" t="s">
        <v>22</v>
      </c>
      <c r="B6" s="6" t="s">
        <v>24</v>
      </c>
      <c r="C6" s="6" t="s">
        <v>25</v>
      </c>
      <c r="D6" s="6" t="s">
        <v>19</v>
      </c>
      <c r="E6" s="6" t="s">
        <v>26</v>
      </c>
      <c r="F6" s="6" t="s">
        <v>27</v>
      </c>
    </row>
    <row r="7" ht="61.5" customHeight="1">
      <c r="A7" s="5" t="s">
        <v>29</v>
      </c>
      <c r="B7" s="6" t="s">
        <v>30</v>
      </c>
      <c r="C7" s="6" t="s">
        <v>31</v>
      </c>
      <c r="D7" s="6" t="s">
        <v>32</v>
      </c>
      <c r="E7" s="6" t="s">
        <v>34</v>
      </c>
      <c r="F7" s="6" t="s">
        <v>35</v>
      </c>
    </row>
    <row r="8" ht="61.5" customHeight="1">
      <c r="A8" s="5" t="s">
        <v>38</v>
      </c>
      <c r="B8" s="6" t="s">
        <v>39</v>
      </c>
      <c r="C8" s="6" t="s">
        <v>40</v>
      </c>
      <c r="D8" s="6" t="s">
        <v>42</v>
      </c>
      <c r="E8" s="6" t="s">
        <v>43</v>
      </c>
      <c r="F8" s="6" t="s">
        <v>46</v>
      </c>
    </row>
    <row r="9" ht="61.5" customHeight="1">
      <c r="A9" s="5" t="s">
        <v>48</v>
      </c>
      <c r="B9" s="6" t="s">
        <v>50</v>
      </c>
      <c r="C9" s="6" t="s">
        <v>51</v>
      </c>
      <c r="D9" s="6" t="s">
        <v>53</v>
      </c>
      <c r="E9" s="6" t="s">
        <v>54</v>
      </c>
      <c r="F9" s="6" t="s">
        <v>55</v>
      </c>
    </row>
    <row r="10" ht="61.5" customHeight="1">
      <c r="A10" s="5" t="s">
        <v>57</v>
      </c>
      <c r="B10" s="6" t="s">
        <v>59</v>
      </c>
      <c r="C10" s="6" t="s">
        <v>60</v>
      </c>
      <c r="D10" s="6" t="s">
        <v>61</v>
      </c>
      <c r="E10" s="6" t="s">
        <v>63</v>
      </c>
      <c r="F10" s="6" t="s">
        <v>66</v>
      </c>
    </row>
    <row r="11" ht="61.5" customHeight="1">
      <c r="A11" s="5" t="s">
        <v>68</v>
      </c>
      <c r="B11" s="6" t="s">
        <v>70</v>
      </c>
      <c r="C11" s="6" t="s">
        <v>75</v>
      </c>
      <c r="D11" s="6" t="s">
        <v>76</v>
      </c>
      <c r="E11" s="6" t="s">
        <v>77</v>
      </c>
      <c r="F11" s="6" t="s">
        <v>79</v>
      </c>
    </row>
    <row r="12" ht="61.5" customHeight="1">
      <c r="A12" s="5" t="s">
        <v>81</v>
      </c>
      <c r="B12" s="6" t="s">
        <v>83</v>
      </c>
      <c r="C12" s="6" t="s">
        <v>85</v>
      </c>
      <c r="D12" s="6" t="s">
        <v>87</v>
      </c>
      <c r="E12" s="6" t="s">
        <v>88</v>
      </c>
      <c r="F12" s="6" t="s">
        <v>90</v>
      </c>
    </row>
    <row r="13" ht="61.5" customHeight="1">
      <c r="A13" s="5" t="s">
        <v>93</v>
      </c>
      <c r="B13" s="6" t="s">
        <v>95</v>
      </c>
      <c r="C13" s="6" t="s">
        <v>96</v>
      </c>
      <c r="D13" s="6" t="s">
        <v>99</v>
      </c>
      <c r="E13" s="6" t="s">
        <v>99</v>
      </c>
      <c r="F13" s="6" t="s">
        <v>101</v>
      </c>
    </row>
    <row r="14" ht="61.5" customHeight="1">
      <c r="A14" s="5" t="s">
        <v>103</v>
      </c>
      <c r="B14" s="6" t="s">
        <v>105</v>
      </c>
      <c r="C14" s="6" t="s">
        <v>106</v>
      </c>
      <c r="D14" s="6" t="s">
        <v>109</v>
      </c>
      <c r="E14" s="6" t="s">
        <v>110</v>
      </c>
      <c r="F14" s="6" t="s">
        <v>111</v>
      </c>
    </row>
    <row r="15" ht="61.5" customHeight="1">
      <c r="A15" s="5" t="s">
        <v>114</v>
      </c>
      <c r="B15" s="6" t="s">
        <v>116</v>
      </c>
      <c r="C15" s="6" t="s">
        <v>118</v>
      </c>
      <c r="D15" s="6" t="s">
        <v>53</v>
      </c>
      <c r="E15" s="6" t="s">
        <v>121</v>
      </c>
      <c r="F15" s="6" t="s">
        <v>123</v>
      </c>
    </row>
    <row r="16" ht="61.5" customHeight="1">
      <c r="A16" s="5" t="s">
        <v>126</v>
      </c>
      <c r="B16" s="6" t="s">
        <v>127</v>
      </c>
      <c r="C16" s="6" t="s">
        <v>128</v>
      </c>
      <c r="D16" s="6" t="s">
        <v>129</v>
      </c>
      <c r="E16" s="6" t="s">
        <v>130</v>
      </c>
      <c r="F16" s="6" t="s">
        <v>131</v>
      </c>
    </row>
    <row r="17" ht="61.5" customHeight="1">
      <c r="A17" s="5" t="s">
        <v>133</v>
      </c>
      <c r="B17" s="6" t="s">
        <v>135</v>
      </c>
      <c r="C17" s="6" t="s">
        <v>136</v>
      </c>
      <c r="D17" s="6" t="s">
        <v>137</v>
      </c>
      <c r="E17" s="6" t="s">
        <v>139</v>
      </c>
      <c r="F17" s="6" t="s">
        <v>140</v>
      </c>
    </row>
    <row r="18" ht="61.5" customHeight="1">
      <c r="A18" s="5" t="s">
        <v>142</v>
      </c>
      <c r="B18" s="6" t="s">
        <v>83</v>
      </c>
      <c r="C18" s="6" t="s">
        <v>145</v>
      </c>
      <c r="D18" s="6" t="s">
        <v>146</v>
      </c>
      <c r="E18" s="6" t="s">
        <v>99</v>
      </c>
      <c r="F18" s="6" t="s">
        <v>147</v>
      </c>
    </row>
    <row r="19">
      <c r="A19" s="2"/>
      <c r="B19" s="2"/>
      <c r="C19" s="2"/>
      <c r="D19" s="2"/>
      <c r="E19" s="2"/>
      <c r="F19" s="2"/>
    </row>
    <row r="20" ht="15.0" customHeight="1">
      <c r="A20" s="17" t="s">
        <v>150</v>
      </c>
      <c r="B20" s="2"/>
      <c r="C20" s="2"/>
      <c r="D20" s="2"/>
      <c r="E20" s="2"/>
      <c r="F20" s="2"/>
    </row>
    <row r="21" ht="15.75" customHeight="1">
      <c r="A21" s="4" t="s">
        <v>154</v>
      </c>
      <c r="B21" s="4" t="s">
        <v>157</v>
      </c>
      <c r="C21" s="4" t="s">
        <v>159</v>
      </c>
      <c r="D21" s="4"/>
      <c r="E21" s="4"/>
      <c r="F21" s="4" t="s">
        <v>161</v>
      </c>
    </row>
    <row r="22" ht="45.0" customHeight="1">
      <c r="A22" s="5" t="s">
        <v>163</v>
      </c>
      <c r="B22" s="6" t="s">
        <v>165</v>
      </c>
      <c r="C22" s="6" t="s">
        <v>166</v>
      </c>
      <c r="D22" s="6"/>
      <c r="E22" s="6"/>
      <c r="F22" s="6" t="s">
        <v>168</v>
      </c>
    </row>
    <row r="23" ht="45.0" customHeight="1">
      <c r="A23" s="5" t="s">
        <v>170</v>
      </c>
      <c r="B23" s="6" t="s">
        <v>171</v>
      </c>
      <c r="C23" s="6" t="s">
        <v>172</v>
      </c>
      <c r="D23" s="6"/>
      <c r="E23" s="6"/>
      <c r="F23" s="6" t="s">
        <v>175</v>
      </c>
    </row>
    <row r="24" ht="45.0" customHeight="1">
      <c r="A24" s="5" t="s">
        <v>178</v>
      </c>
      <c r="B24" s="6" t="s">
        <v>179</v>
      </c>
      <c r="C24" s="6" t="s">
        <v>181</v>
      </c>
      <c r="D24" s="6"/>
      <c r="E24" s="6"/>
      <c r="F24" s="6" t="s">
        <v>184</v>
      </c>
    </row>
    <row r="25" ht="45.0" customHeight="1">
      <c r="A25" s="5" t="s">
        <v>187</v>
      </c>
      <c r="B25" s="6" t="s">
        <v>179</v>
      </c>
      <c r="C25" s="6" t="s">
        <v>190</v>
      </c>
      <c r="D25" s="6"/>
      <c r="E25" s="6"/>
      <c r="F25" s="6" t="s">
        <v>192</v>
      </c>
    </row>
    <row r="26" ht="45.0" customHeight="1">
      <c r="A26" s="5" t="s">
        <v>195</v>
      </c>
      <c r="B26" s="6" t="s">
        <v>165</v>
      </c>
      <c r="C26" s="6" t="s">
        <v>198</v>
      </c>
      <c r="D26" s="6"/>
      <c r="E26" s="6"/>
      <c r="F26" s="6" t="s">
        <v>199</v>
      </c>
    </row>
    <row r="27" ht="45.0" customHeight="1">
      <c r="A27" s="5" t="s">
        <v>201</v>
      </c>
      <c r="B27" s="6" t="s">
        <v>202</v>
      </c>
      <c r="C27" s="6" t="s">
        <v>204</v>
      </c>
      <c r="D27" s="6"/>
      <c r="E27" s="6"/>
      <c r="F27" s="6" t="s">
        <v>205</v>
      </c>
    </row>
    <row r="28" ht="45.0" customHeight="1">
      <c r="A28" s="5" t="s">
        <v>207</v>
      </c>
      <c r="B28" s="6" t="s">
        <v>208</v>
      </c>
      <c r="C28" s="6" t="s">
        <v>210</v>
      </c>
      <c r="D28" s="6"/>
      <c r="E28" s="6"/>
      <c r="F28" s="6" t="s">
        <v>211</v>
      </c>
    </row>
    <row r="29" ht="45.0" customHeight="1">
      <c r="A29" s="5" t="s">
        <v>213</v>
      </c>
      <c r="B29" s="6" t="s">
        <v>214</v>
      </c>
      <c r="C29" s="6" t="s">
        <v>216</v>
      </c>
      <c r="D29" s="6"/>
      <c r="E29" s="6"/>
      <c r="F29" s="6" t="s">
        <v>217</v>
      </c>
    </row>
    <row r="30" ht="45.0" customHeight="1">
      <c r="A30" s="5" t="s">
        <v>219</v>
      </c>
      <c r="B30" s="6" t="s">
        <v>220</v>
      </c>
      <c r="C30" s="6" t="s">
        <v>222</v>
      </c>
      <c r="D30" s="6"/>
      <c r="E30" s="6"/>
      <c r="F30" s="6" t="s">
        <v>223</v>
      </c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17" t="s">
        <v>226</v>
      </c>
      <c r="B32" s="2"/>
      <c r="C32" s="2"/>
      <c r="D32" s="2"/>
      <c r="E32" s="2"/>
      <c r="F32" s="2"/>
    </row>
    <row r="33" ht="15.75" customHeight="1">
      <c r="A33" s="22" t="s">
        <v>228</v>
      </c>
      <c r="B33" s="2"/>
      <c r="C33" s="2"/>
      <c r="D33" s="2"/>
      <c r="E33" s="2"/>
      <c r="F33" s="2"/>
    </row>
    <row r="34" ht="15.75" customHeight="1">
      <c r="A34" s="22" t="s">
        <v>229</v>
      </c>
      <c r="B34" s="2"/>
      <c r="C34" s="2"/>
      <c r="D34" s="2"/>
      <c r="E34" s="2"/>
      <c r="F34" s="2"/>
    </row>
    <row r="35" ht="15.75" customHeight="1">
      <c r="A35" s="22" t="s">
        <v>231</v>
      </c>
      <c r="B35" s="2"/>
      <c r="C35" s="2"/>
      <c r="D35" s="2"/>
      <c r="E35" s="2"/>
      <c r="F35" s="2"/>
    </row>
    <row r="36" ht="15.75" customHeight="1">
      <c r="A36" s="22" t="s">
        <v>233</v>
      </c>
      <c r="B36" s="2"/>
      <c r="C36" s="2"/>
      <c r="D36" s="2"/>
      <c r="E36" s="2"/>
      <c r="F36" s="2"/>
    </row>
    <row r="37" ht="15.75" customHeight="1">
      <c r="A37" s="22" t="s">
        <v>235</v>
      </c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2.0"/>
    <col customWidth="1" min="2" max="2" width="12.0"/>
    <col customWidth="1" min="3" max="3" width="30.0"/>
    <col customWidth="1" min="4" max="4" width="90.0"/>
    <col customWidth="1" min="5" max="6" width="8.71"/>
  </cols>
  <sheetData>
    <row r="1" ht="18.0" customHeight="1">
      <c r="A1" s="1" t="s">
        <v>310</v>
      </c>
      <c r="B1" s="2"/>
      <c r="C1" s="2"/>
      <c r="D1" s="2"/>
      <c r="E1" s="2"/>
      <c r="F1" s="2"/>
    </row>
    <row r="2" ht="15.0" customHeight="1">
      <c r="A2" s="3" t="s">
        <v>311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 ht="15.0" customHeight="1">
      <c r="A4" s="4" t="s">
        <v>312</v>
      </c>
      <c r="B4" s="4" t="s">
        <v>9</v>
      </c>
      <c r="C4" s="4" t="s">
        <v>7</v>
      </c>
      <c r="D4" s="4" t="s">
        <v>10</v>
      </c>
      <c r="E4" s="2"/>
      <c r="F4" s="2"/>
    </row>
    <row r="5" ht="15.0" customHeight="1">
      <c r="A5" s="33" t="s">
        <v>313</v>
      </c>
      <c r="B5" s="34"/>
      <c r="C5" s="34"/>
      <c r="D5" s="34"/>
      <c r="E5" s="2"/>
      <c r="F5" s="2"/>
    </row>
    <row r="6" ht="23.25" customHeight="1">
      <c r="A6" s="6" t="s">
        <v>314</v>
      </c>
      <c r="B6" s="8"/>
      <c r="C6" s="35" t="s">
        <v>258</v>
      </c>
      <c r="D6" s="6" t="s">
        <v>315</v>
      </c>
      <c r="E6" s="2"/>
      <c r="F6" s="2"/>
    </row>
    <row r="7" ht="15.0" customHeight="1">
      <c r="A7" s="6" t="s">
        <v>316</v>
      </c>
      <c r="B7" s="8" t="s">
        <v>317</v>
      </c>
      <c r="C7" s="12">
        <v>180.0</v>
      </c>
      <c r="D7" s="6" t="s">
        <v>318</v>
      </c>
      <c r="E7" s="2"/>
      <c r="F7" s="2"/>
    </row>
    <row r="8" ht="15.0" customHeight="1">
      <c r="A8" s="6" t="s">
        <v>319</v>
      </c>
      <c r="B8" s="8" t="s">
        <v>62</v>
      </c>
      <c r="C8" s="12">
        <v>3.0</v>
      </c>
      <c r="D8" s="6" t="s">
        <v>320</v>
      </c>
      <c r="E8" s="2"/>
      <c r="F8" s="2"/>
    </row>
    <row r="9" ht="23.25" customHeight="1">
      <c r="A9" s="6" t="s">
        <v>321</v>
      </c>
      <c r="B9" s="8" t="s">
        <v>322</v>
      </c>
      <c r="C9" s="12">
        <v>21.0</v>
      </c>
      <c r="D9" s="6" t="s">
        <v>323</v>
      </c>
      <c r="E9" s="2"/>
      <c r="F9" s="2"/>
    </row>
    <row r="10" ht="15.0" customHeight="1">
      <c r="A10" s="6" t="s">
        <v>324</v>
      </c>
      <c r="B10" s="8" t="s">
        <v>89</v>
      </c>
      <c r="C10" s="36">
        <v>0.9</v>
      </c>
      <c r="D10" s="6" t="s">
        <v>325</v>
      </c>
      <c r="E10" s="2"/>
      <c r="F10" s="2"/>
    </row>
    <row r="11" ht="15.0" customHeight="1">
      <c r="A11" s="6" t="s">
        <v>326</v>
      </c>
      <c r="B11" s="8" t="s">
        <v>62</v>
      </c>
      <c r="C11" s="12">
        <v>1.0</v>
      </c>
      <c r="D11" s="6" t="s">
        <v>327</v>
      </c>
      <c r="E11" s="2"/>
      <c r="F11" s="2"/>
    </row>
    <row r="12" ht="15.0" customHeight="1">
      <c r="A12" s="6" t="s">
        <v>328</v>
      </c>
      <c r="B12" s="8" t="s">
        <v>329</v>
      </c>
      <c r="C12" s="12">
        <v>46.0</v>
      </c>
      <c r="D12" s="6" t="s">
        <v>330</v>
      </c>
      <c r="E12" s="2"/>
      <c r="F12" s="2"/>
    </row>
    <row r="13" ht="15.0" customHeight="1">
      <c r="A13" s="6" t="s">
        <v>331</v>
      </c>
      <c r="B13" s="8" t="s">
        <v>62</v>
      </c>
      <c r="C13" s="37">
        <f>C8*365*C10/C9</f>
        <v>46.92857143</v>
      </c>
      <c r="D13" s="6" t="s">
        <v>332</v>
      </c>
      <c r="E13" s="2"/>
      <c r="F13" s="2"/>
    </row>
    <row r="14" ht="15.0" customHeight="1">
      <c r="A14" s="6" t="s">
        <v>333</v>
      </c>
      <c r="B14" s="8" t="s">
        <v>62</v>
      </c>
      <c r="C14" s="37">
        <f>C11*C12</f>
        <v>46</v>
      </c>
      <c r="D14" s="6"/>
      <c r="E14" s="2"/>
      <c r="F14" s="2"/>
    </row>
    <row r="15" ht="15.0" customHeight="1">
      <c r="A15" s="6" t="s">
        <v>334</v>
      </c>
      <c r="B15" s="8" t="s">
        <v>62</v>
      </c>
      <c r="C15" s="37">
        <f>ROUND(MIN(C13,C14),0)</f>
        <v>46</v>
      </c>
      <c r="D15" s="6"/>
      <c r="E15" s="2"/>
      <c r="F15" s="2"/>
    </row>
    <row r="16" ht="15.0" customHeight="1">
      <c r="A16" s="6" t="s">
        <v>335</v>
      </c>
      <c r="B16" s="8" t="s">
        <v>317</v>
      </c>
      <c r="C16" s="38">
        <f>C15*C7</f>
        <v>8280</v>
      </c>
      <c r="D16" s="6"/>
      <c r="E16" s="2"/>
      <c r="F16" s="2"/>
    </row>
    <row r="17" ht="15.0" customHeight="1">
      <c r="A17" s="6" t="s">
        <v>335</v>
      </c>
      <c r="B17" s="8" t="s">
        <v>72</v>
      </c>
      <c r="C17" s="37">
        <f>C16/100</f>
        <v>82.8</v>
      </c>
      <c r="D17" s="6"/>
      <c r="E17" s="2"/>
      <c r="F17" s="2"/>
    </row>
    <row r="18" ht="15.0" customHeight="1">
      <c r="A18" s="33" t="s">
        <v>336</v>
      </c>
      <c r="B18" s="34"/>
      <c r="C18" s="34"/>
      <c r="D18" s="34"/>
      <c r="E18" s="2"/>
      <c r="F18" s="2"/>
    </row>
    <row r="19" ht="15.75" customHeight="1">
      <c r="A19" s="6" t="s">
        <v>337</v>
      </c>
      <c r="B19" s="8" t="s">
        <v>338</v>
      </c>
      <c r="C19" s="39">
        <v>144.0</v>
      </c>
      <c r="D19" s="6" t="s">
        <v>339</v>
      </c>
      <c r="E19" s="2"/>
      <c r="F19" s="2"/>
    </row>
    <row r="20" ht="15.75" customHeight="1">
      <c r="A20" s="6" t="s">
        <v>340</v>
      </c>
      <c r="B20" s="8" t="s">
        <v>341</v>
      </c>
      <c r="C20" s="39">
        <v>3300.0</v>
      </c>
      <c r="D20" s="6" t="s">
        <v>342</v>
      </c>
      <c r="E20" s="2"/>
      <c r="F20" s="2"/>
    </row>
    <row r="21" ht="15.75" customHeight="1">
      <c r="A21" s="6" t="s">
        <v>343</v>
      </c>
      <c r="B21" s="8" t="s">
        <v>317</v>
      </c>
      <c r="C21" s="12">
        <v>30.0</v>
      </c>
      <c r="D21" s="6" t="s">
        <v>344</v>
      </c>
      <c r="E21" s="2"/>
      <c r="F21" s="2"/>
    </row>
    <row r="22" ht="15.75" customHeight="1">
      <c r="A22" s="6" t="str">
        <f>"Fusti da "&amp;C21&amp;" L venduti al mese (media a regime)"</f>
        <v>Fusti da 30 L venduti al mese (media a regime)</v>
      </c>
      <c r="B22" s="8" t="s">
        <v>345</v>
      </c>
      <c r="C22" s="37">
        <f>C19/12</f>
        <v>12</v>
      </c>
      <c r="D22" s="6" t="s">
        <v>346</v>
      </c>
      <c r="E22" s="2"/>
      <c r="F22" s="2"/>
    </row>
    <row r="23" ht="15.75" customHeight="1">
      <c r="A23" s="6" t="s">
        <v>347</v>
      </c>
      <c r="B23" s="8" t="s">
        <v>44</v>
      </c>
      <c r="C23" s="38">
        <f>C19*C21</f>
        <v>4320</v>
      </c>
      <c r="D23" s="6" t="s">
        <v>348</v>
      </c>
      <c r="E23" s="2"/>
      <c r="F23" s="2"/>
    </row>
    <row r="24" ht="15.75" customHeight="1">
      <c r="A24" s="6" t="s">
        <v>349</v>
      </c>
      <c r="B24" s="8" t="s">
        <v>44</v>
      </c>
      <c r="C24" s="38">
        <f>C20*C38</f>
        <v>1089</v>
      </c>
      <c r="D24" s="6" t="s">
        <v>350</v>
      </c>
      <c r="E24" s="2"/>
      <c r="F24" s="2"/>
    </row>
    <row r="25" ht="15.75" customHeight="1">
      <c r="A25" s="6" t="s">
        <v>351</v>
      </c>
      <c r="B25" s="8" t="s">
        <v>44</v>
      </c>
      <c r="C25" s="38">
        <f>C23+C24</f>
        <v>5409</v>
      </c>
      <c r="D25" s="6" t="s">
        <v>352</v>
      </c>
      <c r="E25" s="2"/>
      <c r="F25" s="2"/>
    </row>
    <row r="26" ht="15.0" customHeight="1">
      <c r="A26" s="6" t="s">
        <v>353</v>
      </c>
      <c r="B26" s="8" t="s">
        <v>89</v>
      </c>
      <c r="C26" s="40">
        <f>IF(C25=0,0,C23/C25)</f>
        <v>0.7986688852</v>
      </c>
      <c r="D26" s="6" t="s">
        <v>354</v>
      </c>
      <c r="E26" s="2"/>
      <c r="F26" s="2"/>
    </row>
    <row r="27" ht="15.0" customHeight="1">
      <c r="A27" s="6" t="s">
        <v>355</v>
      </c>
      <c r="B27" s="8" t="s">
        <v>89</v>
      </c>
      <c r="C27" s="40">
        <f>1-C26</f>
        <v>0.2013311148</v>
      </c>
      <c r="D27" s="6" t="s">
        <v>356</v>
      </c>
      <c r="E27" s="2"/>
      <c r="F27" s="2"/>
    </row>
    <row r="28" ht="15.75" customHeight="1">
      <c r="A28" s="6" t="s">
        <v>357</v>
      </c>
      <c r="B28" s="8" t="s">
        <v>89</v>
      </c>
      <c r="C28" s="36">
        <v>0.04</v>
      </c>
      <c r="D28" s="6" t="s">
        <v>358</v>
      </c>
      <c r="E28" s="2"/>
      <c r="F28" s="2"/>
    </row>
    <row r="29" ht="15.75" customHeight="1">
      <c r="A29" s="6" t="s">
        <v>359</v>
      </c>
      <c r="B29" s="8" t="s">
        <v>44</v>
      </c>
      <c r="C29" s="38">
        <f>C16*(1-C28)</f>
        <v>7948.8</v>
      </c>
      <c r="D29" s="6" t="str">
        <f>"Capacità produttiva di tank e sala cottura (riga 16: "&amp;C8&amp;" fermentatori, "&amp;C9&amp;" giorni per ciclo tra fermentazione, maturazione e pulizia, "&amp;ROUND(C10*100,0)&amp;"% di utilizzo) meno le perdite di processo"</f>
        <v>Capacità produttiva di tank e sala cottura (riga 16: 3 fermentatori, 21 giorni per ciclo tra fermentazione, maturazione e pulizia, 90% di utilizzo) meno le perdite di processo</v>
      </c>
      <c r="E29" s="2"/>
      <c r="F29" s="2"/>
    </row>
    <row r="30" ht="15.75" customHeight="1">
      <c r="A30" s="6" t="s">
        <v>360</v>
      </c>
      <c r="B30" s="8" t="s">
        <v>361</v>
      </c>
      <c r="C30" s="38">
        <f>C29/12</f>
        <v>662.4</v>
      </c>
      <c r="D30" s="6" t="str">
        <f>"Circa "&amp;ROUND(C30/C21,0)&amp;" fusti da "&amp;C21&amp;" L al mese se tutto fosse in fusti. Nel singolo mese dipende da quante cotte cadono (3–5)"</f>
        <v>Circa 22 fusti da 30 L al mese se tutto fosse in fusti. Nel singolo mese dipende da quante cotte cadono (3–5)</v>
      </c>
      <c r="E30" s="2"/>
      <c r="F30" s="2"/>
    </row>
    <row r="31" ht="15.75" customHeight="1">
      <c r="A31" s="6" t="s">
        <v>362</v>
      </c>
      <c r="B31" s="8" t="s">
        <v>361</v>
      </c>
      <c r="C31" s="38">
        <f>C25/12</f>
        <v>450.75</v>
      </c>
      <c r="D31" s="6" t="s">
        <v>363</v>
      </c>
      <c r="E31" s="2"/>
      <c r="F31" s="2"/>
    </row>
    <row r="32" ht="15.75" customHeight="1">
      <c r="A32" s="6" t="s">
        <v>364</v>
      </c>
      <c r="B32" s="8" t="s">
        <v>89</v>
      </c>
      <c r="C32" s="41">
        <f>IF(C29=0,0,C25/C29)</f>
        <v>0.6804800725</v>
      </c>
      <c r="D32" s="6" t="s">
        <v>365</v>
      </c>
      <c r="E32" s="2"/>
      <c r="F32" s="2"/>
    </row>
    <row r="33" ht="15.75" customHeight="1">
      <c r="A33" s="6" t="s">
        <v>366</v>
      </c>
      <c r="B33" s="8"/>
      <c r="C33" s="42" t="str">
        <f>IF(C25&lt;=C29,"OK","SUPERATA")</f>
        <v>OK</v>
      </c>
      <c r="D33" s="6" t="str">
        <f>IF(C25&lt;=C29,"La domanda a regime rientra nella capacità: margine di "&amp;ROUND(C29-C25,0)&amp;" L all'anno","Domanda oltre la capacità: il modello vende solo "&amp;ROUND(C29,0)&amp;" L all'anno invece di "&amp;ROUND(C25,0)&amp;". Riducete fusti o bottiglie, oppure aggiungete fermentatori o cotte")</f>
        <v>La domanda a regime rientra nella capacità: margine di 2540 L all'anno</v>
      </c>
      <c r="E33" s="2"/>
      <c r="F33" s="2"/>
    </row>
    <row r="34" ht="15.75" customHeight="1">
      <c r="A34" s="6" t="s">
        <v>367</v>
      </c>
      <c r="B34" s="8" t="s">
        <v>338</v>
      </c>
      <c r="C34" s="38">
        <f>MAX(0,(C29-C24)/C21)</f>
        <v>228.66</v>
      </c>
      <c r="D34" s="6" t="s">
        <v>368</v>
      </c>
      <c r="E34" s="2"/>
      <c r="F34" s="2"/>
    </row>
    <row r="35" ht="15.75" customHeight="1">
      <c r="A35" s="6" t="s">
        <v>369</v>
      </c>
      <c r="B35" s="8" t="s">
        <v>341</v>
      </c>
      <c r="C35" s="38">
        <f>MAX(0,(C29-C23)/C38)</f>
        <v>10996.36364</v>
      </c>
      <c r="D35" s="6" t="s">
        <v>370</v>
      </c>
      <c r="E35" s="2"/>
      <c r="F35" s="2"/>
    </row>
    <row r="36" ht="15.75" customHeight="1">
      <c r="A36" s="6" t="s">
        <v>371</v>
      </c>
      <c r="B36" s="8" t="s">
        <v>372</v>
      </c>
      <c r="C36" s="43">
        <v>4.0</v>
      </c>
      <c r="D36" s="6" t="s">
        <v>373</v>
      </c>
      <c r="E36" s="2"/>
      <c r="F36" s="2"/>
    </row>
    <row r="37" ht="15.75" customHeight="1">
      <c r="A37" s="6" t="s">
        <v>374</v>
      </c>
      <c r="B37" s="8" t="s">
        <v>375</v>
      </c>
      <c r="C37" s="43">
        <v>2.0</v>
      </c>
      <c r="D37" s="6" t="s">
        <v>376</v>
      </c>
      <c r="E37" s="2"/>
      <c r="F37" s="2"/>
    </row>
    <row r="38" ht="15.75" customHeight="1">
      <c r="A38" s="6" t="s">
        <v>377</v>
      </c>
      <c r="B38" s="8" t="s">
        <v>317</v>
      </c>
      <c r="C38" s="44">
        <v>0.33</v>
      </c>
      <c r="D38" s="6" t="s">
        <v>378</v>
      </c>
      <c r="E38" s="2"/>
      <c r="F38" s="2"/>
    </row>
    <row r="39" ht="15.75" customHeight="1">
      <c r="A39" s="6" t="s">
        <v>379</v>
      </c>
      <c r="B39" s="8" t="s">
        <v>89</v>
      </c>
      <c r="C39" s="36">
        <v>0.4</v>
      </c>
      <c r="D39" s="6" t="s">
        <v>380</v>
      </c>
      <c r="E39" s="2"/>
      <c r="F39" s="2"/>
    </row>
    <row r="40" ht="15.75" customHeight="1">
      <c r="A40" s="6" t="s">
        <v>381</v>
      </c>
      <c r="B40" s="8" t="s">
        <v>89</v>
      </c>
      <c r="C40" s="13">
        <v>0.65</v>
      </c>
      <c r="D40" s="6"/>
      <c r="E40" s="2"/>
      <c r="F40" s="2"/>
    </row>
    <row r="41" ht="15.75" customHeight="1">
      <c r="A41" s="6" t="s">
        <v>382</v>
      </c>
      <c r="B41" s="8" t="s">
        <v>89</v>
      </c>
      <c r="C41" s="13">
        <v>0.85</v>
      </c>
      <c r="D41" s="6"/>
      <c r="E41" s="2"/>
      <c r="F41" s="2"/>
    </row>
    <row r="42" ht="15.75" customHeight="1">
      <c r="A42" s="6" t="s">
        <v>383</v>
      </c>
      <c r="B42" s="8" t="s">
        <v>89</v>
      </c>
      <c r="C42" s="13">
        <v>1.0</v>
      </c>
      <c r="D42" s="6" t="s">
        <v>384</v>
      </c>
      <c r="E42" s="2"/>
      <c r="F42" s="2"/>
    </row>
    <row r="43" ht="15.75" customHeight="1">
      <c r="A43" s="6" t="s">
        <v>385</v>
      </c>
      <c r="B43" s="8" t="s">
        <v>89</v>
      </c>
      <c r="C43" s="13">
        <v>1.0</v>
      </c>
      <c r="D43" s="6" t="s">
        <v>386</v>
      </c>
      <c r="E43" s="2"/>
      <c r="F43" s="2"/>
    </row>
    <row r="44" ht="15.75" customHeight="1">
      <c r="A44" s="33" t="s">
        <v>387</v>
      </c>
      <c r="B44" s="34"/>
      <c r="C44" s="34"/>
      <c r="D44" s="34"/>
      <c r="E44" s="2"/>
      <c r="F44" s="2"/>
    </row>
    <row r="45" ht="15.75" customHeight="1">
      <c r="A45" s="6" t="s">
        <v>388</v>
      </c>
      <c r="B45" s="8" t="s">
        <v>389</v>
      </c>
      <c r="C45" s="45">
        <f>'Materie prime'!L9</f>
        <v>50.4</v>
      </c>
      <c r="D45" s="6" t="s">
        <v>390</v>
      </c>
      <c r="E45" s="2"/>
      <c r="F45" s="2"/>
    </row>
    <row r="46" ht="15.75" customHeight="1">
      <c r="A46" s="6" t="s">
        <v>391</v>
      </c>
      <c r="B46" s="8" t="s">
        <v>389</v>
      </c>
      <c r="C46" s="43">
        <v>4.0</v>
      </c>
      <c r="D46" s="6" t="s">
        <v>393</v>
      </c>
      <c r="E46" s="2"/>
      <c r="F46" s="2"/>
    </row>
    <row r="47" ht="15.75" customHeight="1">
      <c r="A47" s="6" t="s">
        <v>394</v>
      </c>
      <c r="B47" s="8" t="s">
        <v>395</v>
      </c>
      <c r="C47" s="25">
        <f>'Materie prime'!C9</f>
        <v>13.7</v>
      </c>
      <c r="D47" s="6" t="s">
        <v>396</v>
      </c>
      <c r="E47" s="2"/>
      <c r="F47" s="2"/>
    </row>
    <row r="48" ht="15.75" customHeight="1">
      <c r="A48" s="6" t="s">
        <v>397</v>
      </c>
      <c r="B48" s="8" t="s">
        <v>398</v>
      </c>
      <c r="C48" s="12">
        <v>50.0</v>
      </c>
      <c r="D48" s="6" t="s">
        <v>399</v>
      </c>
      <c r="E48" s="2"/>
      <c r="F48" s="2"/>
    </row>
    <row r="49" ht="15.75" customHeight="1">
      <c r="A49" s="6" t="s">
        <v>401</v>
      </c>
      <c r="B49" s="8" t="s">
        <v>403</v>
      </c>
      <c r="C49" s="43">
        <v>0.25</v>
      </c>
      <c r="D49" s="6" t="s">
        <v>404</v>
      </c>
      <c r="E49" s="2"/>
      <c r="F49" s="2"/>
    </row>
    <row r="50" ht="15.75" customHeight="1">
      <c r="A50" s="6" t="s">
        <v>405</v>
      </c>
      <c r="B50" s="8" t="s">
        <v>406</v>
      </c>
      <c r="C50" s="44">
        <v>0.6</v>
      </c>
      <c r="D50" s="6" t="s">
        <v>407</v>
      </c>
      <c r="E50" s="2"/>
      <c r="F50" s="2"/>
    </row>
    <row r="51" ht="15.75" customHeight="1">
      <c r="A51" s="6" t="s">
        <v>408</v>
      </c>
      <c r="B51" s="8" t="s">
        <v>409</v>
      </c>
      <c r="C51" s="43">
        <v>3.0</v>
      </c>
      <c r="D51" s="6" t="s">
        <v>410</v>
      </c>
      <c r="E51" s="2"/>
      <c r="F51" s="2"/>
    </row>
    <row r="52" ht="15.75" customHeight="1">
      <c r="A52" s="6" t="s">
        <v>411</v>
      </c>
      <c r="B52" s="8" t="s">
        <v>412</v>
      </c>
      <c r="C52" s="43">
        <v>0.22</v>
      </c>
      <c r="D52" s="6" t="s">
        <v>413</v>
      </c>
      <c r="E52" s="2"/>
      <c r="F52" s="2"/>
    </row>
    <row r="53" ht="15.75" customHeight="1">
      <c r="A53" s="6" t="s">
        <v>414</v>
      </c>
      <c r="B53" s="8" t="s">
        <v>412</v>
      </c>
      <c r="C53" s="43">
        <v>0.02</v>
      </c>
      <c r="D53" s="6" t="s">
        <v>416</v>
      </c>
      <c r="E53" s="2"/>
      <c r="F53" s="2"/>
    </row>
    <row r="54" ht="15.75" customHeight="1">
      <c r="A54" s="6" t="s">
        <v>417</v>
      </c>
      <c r="B54" s="8" t="s">
        <v>412</v>
      </c>
      <c r="C54" s="43">
        <v>0.05</v>
      </c>
      <c r="D54" s="6" t="s">
        <v>419</v>
      </c>
      <c r="E54" s="2"/>
      <c r="F54" s="2"/>
    </row>
    <row r="55" ht="15.75" customHeight="1">
      <c r="A55" s="6" t="s">
        <v>420</v>
      </c>
      <c r="B55" s="8" t="s">
        <v>412</v>
      </c>
      <c r="C55" s="43">
        <v>0.04</v>
      </c>
      <c r="D55" s="6" t="s">
        <v>423</v>
      </c>
      <c r="E55" s="2"/>
      <c r="F55" s="2"/>
    </row>
    <row r="56" ht="15.75" customHeight="1">
      <c r="A56" s="6" t="s">
        <v>425</v>
      </c>
      <c r="B56" s="8" t="s">
        <v>412</v>
      </c>
      <c r="C56" s="46">
        <v>0.005</v>
      </c>
      <c r="D56" s="6" t="s">
        <v>432</v>
      </c>
      <c r="E56" s="2"/>
      <c r="F56" s="2"/>
    </row>
    <row r="57" ht="15.75" customHeight="1">
      <c r="A57" s="6" t="s">
        <v>436</v>
      </c>
      <c r="B57" s="8" t="s">
        <v>389</v>
      </c>
      <c r="C57" s="43">
        <v>3.0</v>
      </c>
      <c r="D57" s="6" t="s">
        <v>438</v>
      </c>
      <c r="E57" s="2"/>
      <c r="F57" s="2"/>
    </row>
    <row r="58" ht="15.75" customHeight="1">
      <c r="A58" s="6" t="s">
        <v>441</v>
      </c>
      <c r="B58" s="8" t="s">
        <v>443</v>
      </c>
      <c r="C58" s="36">
        <v>0.025</v>
      </c>
      <c r="D58" s="6" t="s">
        <v>446</v>
      </c>
      <c r="E58" s="2"/>
      <c r="F58" s="2"/>
    </row>
    <row r="59" ht="15.75" customHeight="1">
      <c r="A59" s="6" t="str">
        <f>"Fusto inox "&amp;C21&amp;" L (acquisto)"</f>
        <v>Fusto inox 30 L (acquisto)</v>
      </c>
      <c r="B59" s="8" t="s">
        <v>412</v>
      </c>
      <c r="C59" s="43">
        <v>110.0</v>
      </c>
      <c r="D59" s="6" t="s">
        <v>451</v>
      </c>
      <c r="E59" s="2"/>
      <c r="F59" s="2"/>
    </row>
    <row r="60" ht="15.75" customHeight="1">
      <c r="A60" s="6" t="s">
        <v>452</v>
      </c>
      <c r="B60" s="8" t="s">
        <v>62</v>
      </c>
      <c r="C60" s="39">
        <v>7.0</v>
      </c>
      <c r="D60" s="6" t="s">
        <v>453</v>
      </c>
      <c r="E60" s="2"/>
      <c r="F60" s="2"/>
    </row>
    <row r="61" ht="15.75" customHeight="1">
      <c r="A61" s="33" t="s">
        <v>454</v>
      </c>
      <c r="B61" s="34"/>
      <c r="C61" s="34"/>
      <c r="D61" s="34"/>
      <c r="E61" s="2"/>
      <c r="F61" s="2"/>
    </row>
    <row r="62" ht="15.75" customHeight="1">
      <c r="A62" s="6" t="s">
        <v>456</v>
      </c>
      <c r="B62" s="8" t="s">
        <v>457</v>
      </c>
      <c r="C62" s="43">
        <v>2.98</v>
      </c>
      <c r="D62" s="6" t="s">
        <v>459</v>
      </c>
      <c r="E62" s="2"/>
      <c r="F62" s="2"/>
    </row>
    <row r="63" ht="15.75" customHeight="1">
      <c r="A63" s="6" t="s">
        <v>460</v>
      </c>
      <c r="B63" s="8" t="s">
        <v>89</v>
      </c>
      <c r="C63" s="13">
        <v>0.4</v>
      </c>
      <c r="D63" s="6" t="s">
        <v>463</v>
      </c>
      <c r="E63" s="2"/>
      <c r="F63" s="2"/>
    </row>
    <row r="64" ht="15.75" customHeight="1">
      <c r="A64" s="6" t="s">
        <v>465</v>
      </c>
      <c r="B64" s="8" t="s">
        <v>466</v>
      </c>
      <c r="C64" s="12">
        <v>2.0</v>
      </c>
      <c r="D64" s="6" t="s">
        <v>467</v>
      </c>
      <c r="E64" s="2"/>
      <c r="F64" s="2"/>
    </row>
    <row r="65" ht="15.75" customHeight="1">
      <c r="A65" s="6" t="s">
        <v>468</v>
      </c>
      <c r="B65" s="8" t="s">
        <v>89</v>
      </c>
      <c r="C65" s="13">
        <v>0.4</v>
      </c>
      <c r="D65" s="6" t="s">
        <v>469</v>
      </c>
      <c r="E65" s="2"/>
      <c r="F65" s="2"/>
    </row>
    <row r="66" ht="15.75" customHeight="1">
      <c r="A66" s="6" t="s">
        <v>470</v>
      </c>
      <c r="B66" s="8" t="s">
        <v>89</v>
      </c>
      <c r="C66" s="13">
        <v>0.15</v>
      </c>
      <c r="D66" s="6" t="s">
        <v>472</v>
      </c>
      <c r="E66" s="2"/>
      <c r="F66" s="2"/>
    </row>
    <row r="67" ht="15.75" customHeight="1">
      <c r="A67" s="6" t="s">
        <v>473</v>
      </c>
      <c r="B67" s="8" t="s">
        <v>412</v>
      </c>
      <c r="C67" s="52">
        <v>85000.0</v>
      </c>
      <c r="D67" s="6" t="s">
        <v>474</v>
      </c>
      <c r="E67" s="2"/>
      <c r="F67" s="2"/>
    </row>
    <row r="68" ht="15.75" customHeight="1">
      <c r="A68" s="6" t="s">
        <v>475</v>
      </c>
      <c r="B68" s="8" t="s">
        <v>89</v>
      </c>
      <c r="C68" s="13">
        <v>0.24</v>
      </c>
      <c r="D68" s="6" t="s">
        <v>476</v>
      </c>
      <c r="E68" s="2"/>
      <c r="F68" s="2"/>
    </row>
    <row r="69" ht="15.75" customHeight="1">
      <c r="A69" s="6" t="s">
        <v>477</v>
      </c>
      <c r="B69" s="8" t="s">
        <v>89</v>
      </c>
      <c r="C69" s="13">
        <v>0.039</v>
      </c>
      <c r="D69" s="6" t="s">
        <v>479</v>
      </c>
      <c r="E69" s="2"/>
      <c r="F69" s="2"/>
    </row>
    <row r="70" ht="15.75" customHeight="1">
      <c r="A70" s="6" t="s">
        <v>480</v>
      </c>
      <c r="B70" s="8" t="s">
        <v>481</v>
      </c>
      <c r="C70" s="12">
        <v>10.0</v>
      </c>
      <c r="D70" s="6" t="s">
        <v>438</v>
      </c>
      <c r="E70" s="2"/>
      <c r="F70" s="2"/>
    </row>
    <row r="71" ht="15.75" customHeight="1">
      <c r="A71" s="6" t="s">
        <v>482</v>
      </c>
      <c r="B71" s="8" t="s">
        <v>481</v>
      </c>
      <c r="C71" s="12">
        <v>6.0</v>
      </c>
      <c r="D71" s="6" t="s">
        <v>438</v>
      </c>
      <c r="E71" s="2"/>
      <c r="F71" s="2"/>
    </row>
    <row r="72" ht="15.75" customHeight="1">
      <c r="A72" s="33" t="s">
        <v>484</v>
      </c>
      <c r="B72" s="34"/>
      <c r="C72" s="34"/>
      <c r="D72" s="34"/>
      <c r="E72" s="2"/>
      <c r="F72" s="2"/>
    </row>
    <row r="73" ht="15.75" customHeight="1">
      <c r="A73" s="6" t="s">
        <v>485</v>
      </c>
      <c r="B73" s="8" t="s">
        <v>486</v>
      </c>
      <c r="C73" s="52">
        <v>0.0</v>
      </c>
      <c r="D73" s="6" t="s">
        <v>488</v>
      </c>
      <c r="E73" s="2"/>
      <c r="F73" s="2"/>
    </row>
    <row r="74" ht="15.75" customHeight="1">
      <c r="A74" s="6" t="s">
        <v>489</v>
      </c>
      <c r="B74" s="8" t="s">
        <v>486</v>
      </c>
      <c r="C74" s="52">
        <v>120.0</v>
      </c>
      <c r="D74" s="6" t="s">
        <v>438</v>
      </c>
      <c r="E74" s="2"/>
      <c r="F74" s="2"/>
    </row>
    <row r="75" ht="15.75" customHeight="1">
      <c r="A75" s="6" t="s">
        <v>490</v>
      </c>
      <c r="B75" s="8" t="s">
        <v>492</v>
      </c>
      <c r="C75" s="52">
        <v>1500.0</v>
      </c>
      <c r="D75" s="6" t="s">
        <v>438</v>
      </c>
      <c r="E75" s="2"/>
      <c r="F75" s="2"/>
    </row>
    <row r="76" ht="15.75" customHeight="1">
      <c r="A76" s="6" t="s">
        <v>493</v>
      </c>
      <c r="B76" s="8" t="s">
        <v>492</v>
      </c>
      <c r="C76" s="52">
        <v>500.0</v>
      </c>
      <c r="D76" s="6" t="s">
        <v>494</v>
      </c>
      <c r="E76" s="2"/>
      <c r="F76" s="2"/>
    </row>
    <row r="77" ht="15.75" customHeight="1">
      <c r="A77" s="6" t="s">
        <v>495</v>
      </c>
      <c r="B77" s="8" t="s">
        <v>62</v>
      </c>
      <c r="C77" s="12">
        <v>0.0</v>
      </c>
      <c r="D77" s="6" t="s">
        <v>496</v>
      </c>
      <c r="E77" s="2"/>
      <c r="F77" s="2"/>
    </row>
    <row r="78" ht="15.75" customHeight="1">
      <c r="A78" s="6" t="s">
        <v>497</v>
      </c>
      <c r="B78" s="8" t="s">
        <v>412</v>
      </c>
      <c r="C78" s="52">
        <v>18808.0</v>
      </c>
      <c r="D78" s="6" t="s">
        <v>499</v>
      </c>
      <c r="E78" s="2"/>
      <c r="F78" s="2"/>
    </row>
    <row r="79" ht="15.75" customHeight="1">
      <c r="A79" s="6" t="s">
        <v>500</v>
      </c>
      <c r="B79" s="8" t="s">
        <v>89</v>
      </c>
      <c r="C79" s="13">
        <v>0.24</v>
      </c>
      <c r="D79" s="6" t="s">
        <v>502</v>
      </c>
      <c r="E79" s="2"/>
      <c r="F79" s="2"/>
    </row>
    <row r="80" ht="15.75" customHeight="1">
      <c r="A80" s="6" t="s">
        <v>503</v>
      </c>
      <c r="B80" s="8" t="s">
        <v>412</v>
      </c>
      <c r="C80" s="52">
        <v>56224.0</v>
      </c>
      <c r="D80" s="6" t="s">
        <v>504</v>
      </c>
      <c r="E80" s="2"/>
      <c r="F80" s="2"/>
    </row>
    <row r="81" ht="15.75" customHeight="1">
      <c r="A81" s="6" t="s">
        <v>505</v>
      </c>
      <c r="B81" s="8" t="s">
        <v>412</v>
      </c>
      <c r="C81" s="43">
        <v>7.44</v>
      </c>
      <c r="D81" s="6" t="s">
        <v>506</v>
      </c>
      <c r="E81" s="2"/>
      <c r="F81" s="2"/>
    </row>
    <row r="82" ht="15.75" customHeight="1">
      <c r="A82" s="6" t="s">
        <v>507</v>
      </c>
      <c r="B82" s="8" t="s">
        <v>89</v>
      </c>
      <c r="C82" s="13">
        <v>0.0</v>
      </c>
      <c r="D82" s="6" t="s">
        <v>508</v>
      </c>
      <c r="E82" s="2"/>
      <c r="F82" s="2"/>
    </row>
    <row r="83" ht="15.75" customHeight="1">
      <c r="A83" s="6" t="s">
        <v>509</v>
      </c>
      <c r="B83" s="8" t="s">
        <v>492</v>
      </c>
      <c r="C83" s="52">
        <v>500.0</v>
      </c>
      <c r="D83" s="6" t="s">
        <v>510</v>
      </c>
      <c r="E83" s="2"/>
      <c r="F83" s="2"/>
    </row>
    <row r="84" ht="15.75" customHeight="1">
      <c r="A84" s="6" t="s">
        <v>511</v>
      </c>
      <c r="B84" s="8" t="s">
        <v>492</v>
      </c>
      <c r="C84" s="52">
        <v>0.0</v>
      </c>
      <c r="D84" s="6" t="s">
        <v>513</v>
      </c>
      <c r="E84" s="2"/>
      <c r="F84" s="2"/>
    </row>
    <row r="85" ht="15.75" customHeight="1">
      <c r="A85" s="6" t="s">
        <v>514</v>
      </c>
      <c r="B85" s="8" t="s">
        <v>515</v>
      </c>
      <c r="C85" s="13">
        <v>0.01</v>
      </c>
      <c r="D85" s="6" t="s">
        <v>516</v>
      </c>
      <c r="E85" s="2"/>
      <c r="F85" s="2"/>
    </row>
    <row r="86" ht="15.75" customHeight="1">
      <c r="A86" s="6" t="s">
        <v>517</v>
      </c>
      <c r="B86" s="8" t="s">
        <v>492</v>
      </c>
      <c r="C86" s="52">
        <v>250.0</v>
      </c>
      <c r="D86" s="6" t="s">
        <v>518</v>
      </c>
      <c r="E86" s="2"/>
      <c r="F86" s="2"/>
    </row>
    <row r="87" ht="15.75" customHeight="1">
      <c r="A87" s="6" t="s">
        <v>520</v>
      </c>
      <c r="B87" s="8" t="s">
        <v>492</v>
      </c>
      <c r="C87" s="52">
        <v>1000.0</v>
      </c>
      <c r="D87" s="6" t="s">
        <v>438</v>
      </c>
      <c r="E87" s="2"/>
      <c r="F87" s="2"/>
    </row>
    <row r="88" ht="15.75" customHeight="1">
      <c r="A88" s="6" t="s">
        <v>522</v>
      </c>
      <c r="B88" s="8" t="s">
        <v>492</v>
      </c>
      <c r="C88" s="52">
        <v>0.0</v>
      </c>
      <c r="D88" s="6" t="s">
        <v>523</v>
      </c>
      <c r="E88" s="2"/>
      <c r="F88" s="2"/>
    </row>
    <row r="89" ht="15.75" customHeight="1">
      <c r="A89" s="6" t="s">
        <v>524</v>
      </c>
      <c r="B89" s="8" t="s">
        <v>525</v>
      </c>
      <c r="C89" s="12">
        <v>0.0</v>
      </c>
      <c r="D89" s="6" t="s">
        <v>438</v>
      </c>
      <c r="E89" s="2"/>
      <c r="F89" s="2"/>
    </row>
    <row r="90" ht="15.75" customHeight="1">
      <c r="A90" s="33" t="s">
        <v>526</v>
      </c>
      <c r="B90" s="34"/>
      <c r="C90" s="34"/>
      <c r="D90" s="34"/>
      <c r="E90" s="2"/>
      <c r="F90" s="2"/>
    </row>
    <row r="91" ht="15.75" customHeight="1">
      <c r="A91" s="6" t="s">
        <v>527</v>
      </c>
      <c r="B91" s="8" t="s">
        <v>528</v>
      </c>
      <c r="C91" s="7">
        <v>10.0</v>
      </c>
      <c r="D91" s="6" t="s">
        <v>438</v>
      </c>
      <c r="E91" s="2"/>
      <c r="F91" s="2"/>
    </row>
    <row r="92" ht="15.75" customHeight="1">
      <c r="A92" s="6" t="s">
        <v>529</v>
      </c>
      <c r="B92" s="8" t="s">
        <v>530</v>
      </c>
      <c r="C92" s="7">
        <v>2.5</v>
      </c>
      <c r="D92" s="6" t="s">
        <v>438</v>
      </c>
      <c r="E92" s="2"/>
      <c r="F92" s="2"/>
    </row>
    <row r="93" ht="15.75" customHeight="1">
      <c r="A93" s="33" t="s">
        <v>533</v>
      </c>
      <c r="B93" s="34"/>
      <c r="C93" s="34"/>
      <c r="D93" s="34"/>
      <c r="E93" s="2"/>
      <c r="F93" s="2"/>
    </row>
    <row r="94" ht="15.75" customHeight="1">
      <c r="A94" s="6" t="s">
        <v>534</v>
      </c>
      <c r="B94" s="8" t="s">
        <v>535</v>
      </c>
      <c r="C94" s="7">
        <v>2.0</v>
      </c>
      <c r="D94" s="6" t="s">
        <v>536</v>
      </c>
      <c r="E94" s="2"/>
      <c r="F94" s="2"/>
    </row>
    <row r="95" ht="15.75" customHeight="1">
      <c r="A95" s="6" t="s">
        <v>537</v>
      </c>
      <c r="B95" s="8" t="s">
        <v>89</v>
      </c>
      <c r="C95" s="13">
        <v>0.1</v>
      </c>
      <c r="D95" s="6" t="s">
        <v>538</v>
      </c>
      <c r="E95" s="2"/>
      <c r="F95" s="2"/>
    </row>
    <row r="96" ht="15.75" customHeight="1">
      <c r="A96" s="6" t="s">
        <v>539</v>
      </c>
      <c r="B96" s="8" t="s">
        <v>89</v>
      </c>
      <c r="C96" s="13">
        <v>0.4</v>
      </c>
      <c r="D96" s="6" t="s">
        <v>541</v>
      </c>
      <c r="E96" s="2"/>
      <c r="F96" s="2"/>
    </row>
    <row r="97" ht="15.75" customHeight="1">
      <c r="A97" s="6" t="s">
        <v>542</v>
      </c>
      <c r="B97" s="8" t="s">
        <v>89</v>
      </c>
      <c r="C97" s="13">
        <v>1.0</v>
      </c>
      <c r="D97" s="6" t="s">
        <v>543</v>
      </c>
      <c r="E97" s="2"/>
      <c r="F97" s="2"/>
    </row>
    <row r="98" ht="15.75" customHeight="1">
      <c r="A98" s="33" t="s">
        <v>544</v>
      </c>
      <c r="B98" s="34"/>
      <c r="C98" s="34"/>
      <c r="D98" s="34"/>
      <c r="E98" s="2"/>
      <c r="F98" s="2"/>
    </row>
    <row r="99" ht="15.75" customHeight="1">
      <c r="A99" s="6" t="s">
        <v>545</v>
      </c>
      <c r="B99" s="8" t="s">
        <v>89</v>
      </c>
      <c r="C99" s="13">
        <f>MIN(IF(C100&gt;0,C100/'Impianto e costi'!$G$73, 1))</f>
        <v>1</v>
      </c>
      <c r="D99" s="6" t="s">
        <v>552</v>
      </c>
      <c r="E99" s="2"/>
      <c r="F99" s="2"/>
    </row>
    <row r="100" ht="15.75" customHeight="1">
      <c r="A100" s="6" t="s">
        <v>553</v>
      </c>
      <c r="B100" s="8" t="s">
        <v>412</v>
      </c>
      <c r="C100" s="12"/>
      <c r="D100" s="6" t="s">
        <v>555</v>
      </c>
      <c r="E100" s="2"/>
      <c r="F100" s="2"/>
    </row>
    <row r="101" ht="15.75" customHeight="1">
      <c r="A101" s="6" t="s">
        <v>291</v>
      </c>
      <c r="B101" s="8" t="s">
        <v>412</v>
      </c>
      <c r="C101" s="28">
        <f>MIN(IF(C100&gt;0,C100,C99*'Impianto e costi'!$G$73),'Impianto e costi'!$G$73)</f>
        <v>60311.69118</v>
      </c>
      <c r="D101" s="6" t="s">
        <v>564</v>
      </c>
      <c r="E101" s="2"/>
      <c r="F101" s="2"/>
    </row>
    <row r="102" ht="15.75" customHeight="1">
      <c r="A102" s="6" t="s">
        <v>565</v>
      </c>
      <c r="B102" s="8" t="s">
        <v>89</v>
      </c>
      <c r="C102" s="60">
        <v>0.07</v>
      </c>
      <c r="D102" s="6" t="s">
        <v>566</v>
      </c>
      <c r="E102" s="2"/>
      <c r="F102" s="2"/>
    </row>
    <row r="103" ht="15.75" customHeight="1">
      <c r="A103" s="6" t="s">
        <v>567</v>
      </c>
      <c r="B103" s="8" t="s">
        <v>481</v>
      </c>
      <c r="C103" s="61">
        <v>10.0</v>
      </c>
      <c r="D103" s="6" t="s">
        <v>570</v>
      </c>
      <c r="E103" s="2"/>
      <c r="F103" s="2"/>
    </row>
    <row r="104" ht="15.75" customHeight="1">
      <c r="A104" s="6" t="s">
        <v>571</v>
      </c>
      <c r="B104" s="8" t="s">
        <v>481</v>
      </c>
      <c r="C104" s="7">
        <v>1.0</v>
      </c>
      <c r="D104" s="6" t="s">
        <v>573</v>
      </c>
      <c r="E104" s="2"/>
      <c r="F104" s="2"/>
    </row>
    <row r="105" ht="15.75" customHeight="1">
      <c r="A105" s="6" t="s">
        <v>574</v>
      </c>
      <c r="B105" s="8" t="s">
        <v>486</v>
      </c>
      <c r="C105" s="38">
        <f>IF(OR(C101&lt;=0,C103&lt;=0),0,-PMT(C102/12,C103*12,C101))</f>
        <v>700.2698741</v>
      </c>
      <c r="D105" s="6" t="s">
        <v>578</v>
      </c>
      <c r="E105" s="2"/>
      <c r="F105" s="2"/>
    </row>
    <row r="106" ht="15.75" customHeight="1">
      <c r="A106" s="6" t="s">
        <v>295</v>
      </c>
      <c r="B106" s="8" t="s">
        <v>492</v>
      </c>
      <c r="C106" s="38">
        <f>C105*12</f>
        <v>8403.23849</v>
      </c>
      <c r="D106" s="6" t="s">
        <v>585</v>
      </c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conditionalFormatting sqref="C33">
    <cfRule type="expression" dxfId="0" priority="1">
      <formula>$C$25&gt;$C$29</formula>
    </cfRule>
  </conditionalFormatting>
  <conditionalFormatting sqref="C33">
    <cfRule type="expression" dxfId="1" priority="2">
      <formula>$C$25&lt;=$C$29</formula>
    </cfRule>
  </conditionalFormatting>
  <conditionalFormatting sqref="C32">
    <cfRule type="expression" dxfId="0" priority="3">
      <formula>$C$32&gt;1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8.0"/>
    <col customWidth="1" min="2" max="2" width="12.0"/>
    <col customWidth="1" min="3" max="3" width="10.0"/>
    <col customWidth="1" min="4" max="13" width="9.0"/>
  </cols>
  <sheetData>
    <row r="1" ht="18.0" customHeight="1">
      <c r="A1" s="1" t="s">
        <v>392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402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5.0" customHeight="1">
      <c r="A4" s="4" t="s">
        <v>418</v>
      </c>
      <c r="B4" s="4" t="s">
        <v>421</v>
      </c>
      <c r="C4" s="4" t="s">
        <v>422</v>
      </c>
      <c r="D4" s="4" t="s">
        <v>424</v>
      </c>
      <c r="E4" s="4" t="s">
        <v>426</v>
      </c>
      <c r="F4" s="4" t="s">
        <v>427</v>
      </c>
      <c r="G4" s="4" t="s">
        <v>428</v>
      </c>
      <c r="H4" s="4" t="s">
        <v>429</v>
      </c>
      <c r="I4" s="4" t="s">
        <v>430</v>
      </c>
      <c r="J4" s="4" t="s">
        <v>431</v>
      </c>
      <c r="K4" s="4" t="s">
        <v>434</v>
      </c>
      <c r="L4" s="4" t="s">
        <v>435</v>
      </c>
      <c r="M4" s="4" t="s">
        <v>437</v>
      </c>
    </row>
    <row r="5" ht="24.0" customHeight="1">
      <c r="A5" s="5" t="s">
        <v>444</v>
      </c>
      <c r="B5" s="47" t="s">
        <v>449</v>
      </c>
      <c r="C5" s="48" t="s">
        <v>455</v>
      </c>
      <c r="D5" s="48" t="s">
        <v>455</v>
      </c>
      <c r="E5" s="49" t="s">
        <v>464</v>
      </c>
      <c r="F5" s="47" t="s">
        <v>449</v>
      </c>
      <c r="G5" s="48" t="s">
        <v>455</v>
      </c>
      <c r="H5" s="48" t="s">
        <v>455</v>
      </c>
      <c r="I5" s="49" t="s">
        <v>464</v>
      </c>
      <c r="J5" s="47" t="s">
        <v>449</v>
      </c>
      <c r="K5" s="48" t="s">
        <v>455</v>
      </c>
      <c r="L5" s="48" t="s">
        <v>455</v>
      </c>
      <c r="M5" s="49" t="s">
        <v>464</v>
      </c>
    </row>
    <row r="6" ht="24.0" customHeight="1">
      <c r="A6" s="5" t="s">
        <v>471</v>
      </c>
      <c r="B6" s="51"/>
      <c r="C6" s="47" t="s">
        <v>449</v>
      </c>
      <c r="D6" s="48" t="s">
        <v>455</v>
      </c>
      <c r="E6" s="48" t="s">
        <v>455</v>
      </c>
      <c r="F6" s="49" t="s">
        <v>464</v>
      </c>
      <c r="G6" s="47" t="s">
        <v>449</v>
      </c>
      <c r="H6" s="48" t="s">
        <v>455</v>
      </c>
      <c r="I6" s="48" t="s">
        <v>455</v>
      </c>
      <c r="J6" s="49" t="s">
        <v>464</v>
      </c>
      <c r="K6" s="47" t="s">
        <v>449</v>
      </c>
      <c r="L6" s="48" t="s">
        <v>455</v>
      </c>
      <c r="M6" s="48" t="s">
        <v>455</v>
      </c>
    </row>
    <row r="7" ht="24.0" customHeight="1">
      <c r="A7" s="5" t="s">
        <v>478</v>
      </c>
      <c r="B7" s="51"/>
      <c r="C7" s="51"/>
      <c r="D7" s="47" t="s">
        <v>449</v>
      </c>
      <c r="E7" s="48" t="s">
        <v>455</v>
      </c>
      <c r="F7" s="48" t="s">
        <v>455</v>
      </c>
      <c r="G7" s="49" t="s">
        <v>464</v>
      </c>
      <c r="H7" s="47" t="s">
        <v>449</v>
      </c>
      <c r="I7" s="48" t="s">
        <v>455</v>
      </c>
      <c r="J7" s="48" t="s">
        <v>455</v>
      </c>
      <c r="K7" s="49" t="s">
        <v>464</v>
      </c>
      <c r="L7" s="47" t="s">
        <v>449</v>
      </c>
      <c r="M7" s="48" t="s">
        <v>455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ht="15.0" customHeight="1">
      <c r="A9" s="22" t="s">
        <v>487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ht="15.0" customHeight="1">
      <c r="A10" s="22" t="s">
        <v>491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15.0" customHeight="1">
      <c r="A12" s="4" t="s">
        <v>498</v>
      </c>
      <c r="B12" s="4" t="s">
        <v>7</v>
      </c>
      <c r="C12" s="4" t="s">
        <v>9</v>
      </c>
      <c r="D12" s="54" t="s">
        <v>501</v>
      </c>
      <c r="E12" s="55"/>
      <c r="F12" s="55"/>
      <c r="G12" s="55"/>
      <c r="H12" s="55"/>
      <c r="I12" s="55"/>
      <c r="J12" s="55"/>
      <c r="K12" s="55"/>
      <c r="L12" s="55"/>
      <c r="M12" s="56"/>
    </row>
    <row r="13" ht="15.0" customHeight="1">
      <c r="A13" s="5" t="s">
        <v>512</v>
      </c>
      <c r="B13" s="28">
        <f>Parametri!$C$7</f>
        <v>180</v>
      </c>
      <c r="C13" s="8" t="s">
        <v>317</v>
      </c>
      <c r="D13" s="59" t="s">
        <v>71</v>
      </c>
      <c r="E13" s="55"/>
      <c r="F13" s="55"/>
      <c r="G13" s="55"/>
      <c r="H13" s="55"/>
      <c r="I13" s="55"/>
      <c r="J13" s="55"/>
      <c r="K13" s="55"/>
      <c r="L13" s="55"/>
      <c r="M13" s="56"/>
    </row>
    <row r="14" ht="15.0" customHeight="1">
      <c r="A14" s="5" t="s">
        <v>532</v>
      </c>
      <c r="B14" s="25">
        <f>Parametri!$C$15</f>
        <v>46</v>
      </c>
      <c r="C14" s="8" t="s">
        <v>62</v>
      </c>
      <c r="D14" s="59" t="s">
        <v>540</v>
      </c>
      <c r="E14" s="55"/>
      <c r="F14" s="55"/>
      <c r="G14" s="55"/>
      <c r="H14" s="55"/>
      <c r="I14" s="55"/>
      <c r="J14" s="55"/>
      <c r="K14" s="55"/>
      <c r="L14" s="55"/>
      <c r="M14" s="56"/>
    </row>
    <row r="15" ht="15.0" customHeight="1">
      <c r="A15" s="5" t="s">
        <v>546</v>
      </c>
      <c r="B15" s="25">
        <f>Parametri!$C$17</f>
        <v>82.8</v>
      </c>
      <c r="C15" s="8" t="s">
        <v>72</v>
      </c>
      <c r="D15" s="59" t="s">
        <v>548</v>
      </c>
      <c r="E15" s="55"/>
      <c r="F15" s="55"/>
      <c r="G15" s="55"/>
      <c r="H15" s="55"/>
      <c r="I15" s="55"/>
      <c r="J15" s="55"/>
      <c r="K15" s="55"/>
      <c r="L15" s="55"/>
      <c r="M15" s="56"/>
    </row>
    <row r="16" ht="15.0" customHeight="1">
      <c r="A16" s="5" t="s">
        <v>551</v>
      </c>
      <c r="B16" s="25">
        <f>Parametri!$C$25/100</f>
        <v>54.09</v>
      </c>
      <c r="C16" s="8" t="s">
        <v>72</v>
      </c>
      <c r="D16" s="59" t="s">
        <v>554</v>
      </c>
      <c r="E16" s="55"/>
      <c r="F16" s="55"/>
      <c r="G16" s="55"/>
      <c r="H16" s="55"/>
      <c r="I16" s="55"/>
      <c r="J16" s="55"/>
      <c r="K16" s="55"/>
      <c r="L16" s="55"/>
      <c r="M16" s="56"/>
    </row>
    <row r="17" ht="15.0" customHeight="1">
      <c r="A17" s="5" t="s">
        <v>559</v>
      </c>
      <c r="B17" s="28">
        <f>B13*(1-Parametri!$C$28)</f>
        <v>172.8</v>
      </c>
      <c r="C17" s="8" t="s">
        <v>317</v>
      </c>
      <c r="D17" s="59" t="s">
        <v>563</v>
      </c>
      <c r="E17" s="55"/>
      <c r="F17" s="55"/>
      <c r="G17" s="55"/>
      <c r="H17" s="55"/>
      <c r="I17" s="55"/>
      <c r="J17" s="55"/>
      <c r="K17" s="55"/>
      <c r="L17" s="55"/>
      <c r="M17" s="56"/>
    </row>
    <row r="18" ht="15.0" customHeight="1">
      <c r="A18" s="5" t="str">
        <f>"Fusti da "&amp;Parametri!C21&amp;" L per cotta"</f>
        <v>Fusti da 30 L per cotta</v>
      </c>
      <c r="B18" s="25">
        <f>B17*Parametri!$C$26/Parametri!$C$21</f>
        <v>4.600332779</v>
      </c>
      <c r="C18" s="8" t="s">
        <v>62</v>
      </c>
      <c r="D18" s="59" t="str">
        <f>"Quota fusti: "&amp;ROUND(Parametri!C26*100,0)&amp;"%"</f>
        <v>Quota fusti: 80%</v>
      </c>
      <c r="E18" s="55"/>
      <c r="F18" s="55"/>
      <c r="G18" s="55"/>
      <c r="H18" s="55"/>
      <c r="I18" s="55"/>
      <c r="J18" s="55"/>
      <c r="K18" s="55"/>
      <c r="L18" s="55"/>
      <c r="M18" s="56"/>
    </row>
    <row r="19" ht="15.0" customHeight="1">
      <c r="A19" s="5" t="s">
        <v>577</v>
      </c>
      <c r="B19" s="28">
        <f>B17*Parametri!$C$27/Parametri!$C$38</f>
        <v>105.4242928</v>
      </c>
      <c r="C19" s="8" t="s">
        <v>62</v>
      </c>
      <c r="D19" s="59" t="str">
        <f>"Quota bottiglie: "&amp;ROUND(Parametri!C27*100,0)&amp;"%"</f>
        <v>Quota bottiglie: 20%</v>
      </c>
      <c r="E19" s="55"/>
      <c r="F19" s="55"/>
      <c r="G19" s="55"/>
      <c r="H19" s="55"/>
      <c r="I19" s="55"/>
      <c r="J19" s="55"/>
      <c r="K19" s="55"/>
      <c r="L19" s="55"/>
      <c r="M19" s="56"/>
    </row>
    <row r="20" ht="15.0" customHeight="1">
      <c r="A20" s="5" t="s">
        <v>587</v>
      </c>
      <c r="B20" s="25">
        <f>Parametri!$C$91+B17/100*Parametri!$C$92</f>
        <v>14.32</v>
      </c>
      <c r="C20" s="8" t="s">
        <v>528</v>
      </c>
      <c r="D20" s="59" t="s">
        <v>591</v>
      </c>
      <c r="E20" s="55"/>
      <c r="F20" s="55"/>
      <c r="G20" s="55"/>
      <c r="H20" s="55"/>
      <c r="I20" s="55"/>
      <c r="J20" s="55"/>
      <c r="K20" s="55"/>
      <c r="L20" s="55"/>
      <c r="M20" s="56"/>
    </row>
    <row r="21" ht="15.0" customHeight="1">
      <c r="A21" s="5" t="s">
        <v>594</v>
      </c>
      <c r="B21" s="37">
        <f>B20</f>
        <v>14.32</v>
      </c>
      <c r="C21" s="8" t="s">
        <v>528</v>
      </c>
      <c r="D21" s="59" t="s">
        <v>596</v>
      </c>
      <c r="E21" s="55"/>
      <c r="F21" s="55"/>
      <c r="G21" s="55"/>
      <c r="H21" s="55"/>
      <c r="I21" s="55"/>
      <c r="J21" s="55"/>
      <c r="K21" s="55"/>
      <c r="L21" s="55"/>
      <c r="M21" s="56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mergeCells count="10">
    <mergeCell ref="D19:M19"/>
    <mergeCell ref="D20:M20"/>
    <mergeCell ref="D21:M21"/>
    <mergeCell ref="D12:M12"/>
    <mergeCell ref="D13:M13"/>
    <mergeCell ref="D14:M14"/>
    <mergeCell ref="D15:M15"/>
    <mergeCell ref="D16:M16"/>
    <mergeCell ref="D17:M17"/>
    <mergeCell ref="D18:M18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5.0"/>
    <col customWidth="1" min="2" max="2" width="34.0"/>
    <col customWidth="1" min="3" max="3" width="60.0"/>
    <col customWidth="1" min="4" max="4" width="6.0"/>
    <col customWidth="1" min="5" max="5" width="8.0"/>
    <col customWidth="1" min="6" max="6" width="11.0"/>
    <col customWidth="1" min="7" max="7" width="12.0"/>
    <col customWidth="1" min="8" max="8" width="48.0"/>
  </cols>
  <sheetData>
    <row r="1" ht="18.0" customHeight="1">
      <c r="A1" s="1" t="s">
        <v>400</v>
      </c>
      <c r="B1" s="2"/>
      <c r="C1" s="2"/>
      <c r="D1" s="2"/>
      <c r="E1" s="2"/>
      <c r="F1" s="2"/>
      <c r="G1" s="2"/>
      <c r="H1" s="2"/>
    </row>
    <row r="2" ht="15.0" customHeight="1">
      <c r="A2" s="3" t="s">
        <v>415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 ht="23.25" customHeight="1">
      <c r="A4" s="4" t="s">
        <v>433</v>
      </c>
      <c r="B4" s="4" t="s">
        <v>154</v>
      </c>
      <c r="C4" s="4" t="s">
        <v>439</v>
      </c>
      <c r="D4" s="4" t="s">
        <v>440</v>
      </c>
      <c r="E4" s="4" t="s">
        <v>442</v>
      </c>
      <c r="F4" s="4" t="s">
        <v>445</v>
      </c>
      <c r="G4" s="4" t="s">
        <v>447</v>
      </c>
      <c r="H4" s="4" t="s">
        <v>448</v>
      </c>
    </row>
    <row r="5" ht="15.0" customHeight="1">
      <c r="A5" s="33" t="s">
        <v>450</v>
      </c>
      <c r="B5" s="34"/>
      <c r="C5" s="34"/>
      <c r="D5" s="34"/>
      <c r="E5" s="34"/>
      <c r="F5" s="34"/>
      <c r="G5" s="34"/>
      <c r="H5" s="34"/>
    </row>
    <row r="6" ht="45.0" customHeight="1">
      <c r="A6" s="8">
        <v>1.0</v>
      </c>
      <c r="B6" s="5" t="s">
        <v>458</v>
      </c>
      <c r="C6" s="6" t="s">
        <v>461</v>
      </c>
      <c r="D6" s="8" t="s">
        <v>462</v>
      </c>
      <c r="E6" s="50">
        <v>1.0</v>
      </c>
      <c r="F6" s="43">
        <v>6999.0</v>
      </c>
      <c r="G6" s="53">
        <f t="shared" ref="G6:G16" si="1">E6*F6</f>
        <v>6999</v>
      </c>
      <c r="H6" s="57" t="s">
        <v>483</v>
      </c>
    </row>
    <row r="7" ht="60.0" customHeight="1">
      <c r="A7" s="8">
        <v>2.0</v>
      </c>
      <c r="B7" s="5" t="s">
        <v>519</v>
      </c>
      <c r="C7" s="6" t="s">
        <v>521</v>
      </c>
      <c r="D7" s="8" t="s">
        <v>462</v>
      </c>
      <c r="E7" s="58">
        <f>Parametri!$C$8</f>
        <v>3</v>
      </c>
      <c r="F7" s="43">
        <v>4490.0</v>
      </c>
      <c r="G7" s="53">
        <f t="shared" si="1"/>
        <v>13470</v>
      </c>
      <c r="H7" s="57" t="s">
        <v>531</v>
      </c>
    </row>
    <row r="8" ht="30.0" customHeight="1">
      <c r="A8" s="8">
        <v>3.0</v>
      </c>
      <c r="B8" s="5" t="s">
        <v>547</v>
      </c>
      <c r="C8" s="6" t="s">
        <v>549</v>
      </c>
      <c r="D8" s="8" t="s">
        <v>462</v>
      </c>
      <c r="E8" s="50">
        <v>1.0</v>
      </c>
      <c r="F8" s="43">
        <v>5349.0</v>
      </c>
      <c r="G8" s="53">
        <f t="shared" si="1"/>
        <v>5349</v>
      </c>
      <c r="H8" s="57" t="s">
        <v>550</v>
      </c>
    </row>
    <row r="9" ht="30.0" customHeight="1">
      <c r="A9" s="8">
        <v>4.0</v>
      </c>
      <c r="B9" s="5" t="s">
        <v>556</v>
      </c>
      <c r="C9" s="6" t="s">
        <v>557</v>
      </c>
      <c r="D9" s="8" t="s">
        <v>558</v>
      </c>
      <c r="E9" s="50">
        <v>1.0</v>
      </c>
      <c r="F9" s="43">
        <v>500.0</v>
      </c>
      <c r="G9" s="53">
        <f t="shared" si="1"/>
        <v>500</v>
      </c>
      <c r="H9" s="6" t="s">
        <v>438</v>
      </c>
    </row>
    <row r="10" ht="45.0" customHeight="1">
      <c r="A10" s="8">
        <v>5.0</v>
      </c>
      <c r="B10" s="5" t="s">
        <v>560</v>
      </c>
      <c r="C10" s="6" t="s">
        <v>561</v>
      </c>
      <c r="D10" s="8" t="s">
        <v>462</v>
      </c>
      <c r="E10" s="50">
        <v>1.0</v>
      </c>
      <c r="F10" s="43">
        <v>499.0</v>
      </c>
      <c r="G10" s="53">
        <f t="shared" si="1"/>
        <v>499</v>
      </c>
      <c r="H10" s="57" t="s">
        <v>562</v>
      </c>
    </row>
    <row r="11" ht="30.0" customHeight="1">
      <c r="A11" s="8">
        <v>6.0</v>
      </c>
      <c r="B11" s="5" t="s">
        <v>568</v>
      </c>
      <c r="C11" s="6" t="s">
        <v>569</v>
      </c>
      <c r="D11" s="8" t="s">
        <v>462</v>
      </c>
      <c r="E11" s="50">
        <v>4.0</v>
      </c>
      <c r="F11" s="43">
        <v>109.0</v>
      </c>
      <c r="G11" s="53">
        <f t="shared" si="1"/>
        <v>436</v>
      </c>
      <c r="H11" s="57" t="s">
        <v>572</v>
      </c>
    </row>
    <row r="12" ht="30.0" customHeight="1">
      <c r="A12" s="8">
        <v>7.0</v>
      </c>
      <c r="B12" s="5" t="s">
        <v>575</v>
      </c>
      <c r="C12" s="6" t="s">
        <v>576</v>
      </c>
      <c r="D12" s="8" t="s">
        <v>558</v>
      </c>
      <c r="E12" s="58">
        <f>Parametri!$C$8</f>
        <v>3</v>
      </c>
      <c r="F12" s="43">
        <v>130.0</v>
      </c>
      <c r="G12" s="53">
        <f t="shared" si="1"/>
        <v>390</v>
      </c>
      <c r="H12" s="6" t="s">
        <v>579</v>
      </c>
    </row>
    <row r="13" ht="45.0" customHeight="1">
      <c r="A13" s="8">
        <v>8.0</v>
      </c>
      <c r="B13" s="5" t="s">
        <v>580</v>
      </c>
      <c r="C13" s="6" t="s">
        <v>581</v>
      </c>
      <c r="D13" s="8" t="s">
        <v>558</v>
      </c>
      <c r="E13" s="50">
        <v>1.0</v>
      </c>
      <c r="F13" s="43">
        <v>1200.0</v>
      </c>
      <c r="G13" s="53">
        <f t="shared" si="1"/>
        <v>1200</v>
      </c>
      <c r="H13" s="6" t="s">
        <v>582</v>
      </c>
    </row>
    <row r="14" ht="30.0" customHeight="1">
      <c r="A14" s="8">
        <v>9.0</v>
      </c>
      <c r="B14" s="5" t="s">
        <v>583</v>
      </c>
      <c r="C14" s="6" t="s">
        <v>584</v>
      </c>
      <c r="D14" s="8" t="s">
        <v>462</v>
      </c>
      <c r="E14" s="50">
        <v>0.0</v>
      </c>
      <c r="F14" s="43">
        <v>0.0</v>
      </c>
      <c r="G14" s="53">
        <f t="shared" si="1"/>
        <v>0</v>
      </c>
      <c r="H14" s="57" t="s">
        <v>586</v>
      </c>
    </row>
    <row r="15" ht="30.0" customHeight="1">
      <c r="A15" s="8">
        <v>10.0</v>
      </c>
      <c r="B15" s="5" t="s">
        <v>588</v>
      </c>
      <c r="C15" s="6" t="s">
        <v>589</v>
      </c>
      <c r="D15" s="8" t="s">
        <v>558</v>
      </c>
      <c r="E15" s="50">
        <v>1.0</v>
      </c>
      <c r="F15" s="43">
        <v>250.0</v>
      </c>
      <c r="G15" s="53">
        <f t="shared" si="1"/>
        <v>250</v>
      </c>
      <c r="H15" s="6" t="s">
        <v>438</v>
      </c>
    </row>
    <row r="16" ht="45.0" customHeight="1">
      <c r="A16" s="8">
        <v>11.0</v>
      </c>
      <c r="B16" s="5" t="s">
        <v>590</v>
      </c>
      <c r="C16" s="6" t="s">
        <v>592</v>
      </c>
      <c r="D16" s="8" t="s">
        <v>558</v>
      </c>
      <c r="E16" s="50">
        <v>1.0</v>
      </c>
      <c r="F16" s="43">
        <v>1200.0</v>
      </c>
      <c r="G16" s="53">
        <f t="shared" si="1"/>
        <v>1200</v>
      </c>
      <c r="H16" s="6" t="s">
        <v>593</v>
      </c>
    </row>
    <row r="17" ht="15.0" customHeight="1">
      <c r="A17" s="2"/>
      <c r="B17" s="15" t="s">
        <v>595</v>
      </c>
      <c r="C17" s="20"/>
      <c r="D17" s="20"/>
      <c r="E17" s="20"/>
      <c r="F17" s="20"/>
      <c r="G17" s="62">
        <f>SUM(G6:G16)</f>
        <v>30293</v>
      </c>
      <c r="H17" s="20"/>
    </row>
    <row r="18">
      <c r="A18" s="2"/>
      <c r="B18" s="2"/>
      <c r="C18" s="2"/>
      <c r="D18" s="2"/>
      <c r="E18" s="2"/>
      <c r="F18" s="2"/>
      <c r="G18" s="2"/>
      <c r="H18" s="2"/>
    </row>
    <row r="19" ht="15.0" customHeight="1">
      <c r="A19" s="33" t="s">
        <v>597</v>
      </c>
      <c r="B19" s="34"/>
      <c r="C19" s="34"/>
      <c r="D19" s="34"/>
      <c r="E19" s="34"/>
      <c r="F19" s="34"/>
      <c r="G19" s="34"/>
      <c r="H19" s="34"/>
    </row>
    <row r="20" ht="30.0" customHeight="1">
      <c r="A20" s="8">
        <v>12.0</v>
      </c>
      <c r="B20" s="5" t="s">
        <v>598</v>
      </c>
      <c r="C20" s="6" t="s">
        <v>599</v>
      </c>
      <c r="D20" s="8" t="s">
        <v>558</v>
      </c>
      <c r="E20" s="50">
        <v>1.0</v>
      </c>
      <c r="F20" s="43">
        <v>1300.0</v>
      </c>
      <c r="G20" s="53">
        <f t="shared" ref="G20:G25" si="2">E20*F20</f>
        <v>1300</v>
      </c>
      <c r="H20" s="57" t="s">
        <v>600</v>
      </c>
    </row>
    <row r="21" ht="30.0" customHeight="1">
      <c r="A21" s="8">
        <v>13.0</v>
      </c>
      <c r="B21" s="5" t="s">
        <v>601</v>
      </c>
      <c r="C21" s="6" t="s">
        <v>602</v>
      </c>
      <c r="D21" s="8" t="s">
        <v>462</v>
      </c>
      <c r="E21" s="50">
        <v>0.0</v>
      </c>
      <c r="F21" s="43">
        <v>0.0</v>
      </c>
      <c r="G21" s="53">
        <f t="shared" si="2"/>
        <v>0</v>
      </c>
      <c r="H21" s="57" t="s">
        <v>603</v>
      </c>
    </row>
    <row r="22" ht="30.0" customHeight="1">
      <c r="A22" s="8">
        <v>14.0</v>
      </c>
      <c r="B22" s="5" t="s">
        <v>604</v>
      </c>
      <c r="C22" s="6" t="s">
        <v>605</v>
      </c>
      <c r="D22" s="8" t="s">
        <v>558</v>
      </c>
      <c r="E22" s="50">
        <v>1.0</v>
      </c>
      <c r="F22" s="43">
        <v>400.0</v>
      </c>
      <c r="G22" s="53">
        <f t="shared" si="2"/>
        <v>400</v>
      </c>
      <c r="H22" s="6" t="s">
        <v>606</v>
      </c>
    </row>
    <row r="23" ht="30.0" customHeight="1">
      <c r="A23" s="8">
        <v>15.0</v>
      </c>
      <c r="B23" s="5" t="s">
        <v>607</v>
      </c>
      <c r="C23" s="6" t="s">
        <v>608</v>
      </c>
      <c r="D23" s="8" t="s">
        <v>558</v>
      </c>
      <c r="E23" s="50">
        <v>1.0</v>
      </c>
      <c r="F23" s="43">
        <v>300.0</v>
      </c>
      <c r="G23" s="53">
        <f t="shared" si="2"/>
        <v>300</v>
      </c>
      <c r="H23" s="6" t="s">
        <v>609</v>
      </c>
    </row>
    <row r="24" ht="30.0" customHeight="1">
      <c r="A24" s="8">
        <v>16.0</v>
      </c>
      <c r="B24" s="5" t="s">
        <v>610</v>
      </c>
      <c r="C24" s="6" t="s">
        <v>611</v>
      </c>
      <c r="D24" s="8" t="s">
        <v>558</v>
      </c>
      <c r="E24" s="50">
        <v>1.0</v>
      </c>
      <c r="F24" s="43">
        <v>300.0</v>
      </c>
      <c r="G24" s="53">
        <f t="shared" si="2"/>
        <v>300</v>
      </c>
      <c r="H24" s="6" t="s">
        <v>612</v>
      </c>
    </row>
    <row r="25" ht="30.0" customHeight="1">
      <c r="A25" s="8">
        <v>17.0</v>
      </c>
      <c r="B25" s="5" t="s">
        <v>613</v>
      </c>
      <c r="C25" s="6" t="s">
        <v>614</v>
      </c>
      <c r="D25" s="8" t="s">
        <v>558</v>
      </c>
      <c r="E25" s="50">
        <v>1.0</v>
      </c>
      <c r="F25" s="43">
        <v>400.0</v>
      </c>
      <c r="G25" s="53">
        <f t="shared" si="2"/>
        <v>400</v>
      </c>
      <c r="H25" s="6" t="s">
        <v>615</v>
      </c>
    </row>
    <row r="26" ht="15.75" customHeight="1">
      <c r="A26" s="2"/>
      <c r="B26" s="15" t="s">
        <v>616</v>
      </c>
      <c r="C26" s="20"/>
      <c r="D26" s="20"/>
      <c r="E26" s="20"/>
      <c r="F26" s="20"/>
      <c r="G26" s="62">
        <f>SUM(G20:G25)</f>
        <v>2700</v>
      </c>
      <c r="H26" s="20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33" t="str">
        <f>"C. Confezionamento in fusti ("&amp;ROUND(Parametri!C26*100,0)&amp;"% del volume)"</f>
        <v>C. Confezionamento in fusti (80% del volume)</v>
      </c>
      <c r="B28" s="34"/>
      <c r="C28" s="34"/>
      <c r="D28" s="34"/>
      <c r="E28" s="34"/>
      <c r="F28" s="34"/>
      <c r="G28" s="34"/>
      <c r="H28" s="34"/>
    </row>
    <row r="29" ht="30.0" customHeight="1">
      <c r="A29" s="8">
        <v>18.0</v>
      </c>
      <c r="B29" s="5" t="str">
        <f>"Fusti inox "&amp;Parametri!C21&amp;" L"</f>
        <v>Fusti inox 30 L</v>
      </c>
      <c r="C29" s="6" t="s">
        <v>627</v>
      </c>
      <c r="D29" s="8" t="s">
        <v>558</v>
      </c>
      <c r="E29" s="58">
        <f>MAX(10,ROUNDUP(MIN(Parametri!$C$16,Parametri!$C$25)*Parametri!$C$26/Parametri!$C$21/Parametri!$C$60,0))</f>
        <v>21</v>
      </c>
      <c r="F29" s="45">
        <f>Parametri!$C$59</f>
        <v>110</v>
      </c>
      <c r="G29" s="53">
        <f t="shared" ref="G29:G33" si="3">E29*F29</f>
        <v>2310</v>
      </c>
      <c r="H29" s="6" t="s">
        <v>633</v>
      </c>
    </row>
    <row r="30" ht="30.0" customHeight="1">
      <c r="A30" s="8">
        <v>19.0</v>
      </c>
      <c r="B30" s="5" t="s">
        <v>634</v>
      </c>
      <c r="C30" s="6" t="s">
        <v>635</v>
      </c>
      <c r="D30" s="8" t="s">
        <v>558</v>
      </c>
      <c r="E30" s="50">
        <v>2.0</v>
      </c>
      <c r="F30" s="43">
        <v>110.0</v>
      </c>
      <c r="G30" s="53">
        <f t="shared" si="3"/>
        <v>220</v>
      </c>
      <c r="H30" s="6" t="s">
        <v>438</v>
      </c>
    </row>
    <row r="31" ht="30.0" customHeight="1">
      <c r="A31" s="8">
        <v>20.0</v>
      </c>
      <c r="B31" s="5" t="s">
        <v>636</v>
      </c>
      <c r="C31" s="6" t="s">
        <v>637</v>
      </c>
      <c r="D31" s="8" t="s">
        <v>558</v>
      </c>
      <c r="E31" s="50">
        <v>1.0</v>
      </c>
      <c r="F31" s="43">
        <v>600.0</v>
      </c>
      <c r="G31" s="53">
        <f t="shared" si="3"/>
        <v>600</v>
      </c>
      <c r="H31" s="6" t="s">
        <v>438</v>
      </c>
    </row>
    <row r="32" ht="30.0" customHeight="1">
      <c r="A32" s="8">
        <v>21.0</v>
      </c>
      <c r="B32" s="5" t="s">
        <v>639</v>
      </c>
      <c r="C32" s="6" t="s">
        <v>640</v>
      </c>
      <c r="D32" s="8" t="s">
        <v>558</v>
      </c>
      <c r="E32" s="50">
        <v>1.0</v>
      </c>
      <c r="F32" s="43">
        <v>300.0</v>
      </c>
      <c r="G32" s="53">
        <f t="shared" si="3"/>
        <v>300</v>
      </c>
      <c r="H32" s="6" t="s">
        <v>438</v>
      </c>
    </row>
    <row r="33" ht="30.0" customHeight="1">
      <c r="A33" s="8">
        <v>22.0</v>
      </c>
      <c r="B33" s="5" t="s">
        <v>642</v>
      </c>
      <c r="C33" s="6" t="s">
        <v>643</v>
      </c>
      <c r="D33" s="8" t="s">
        <v>558</v>
      </c>
      <c r="E33" s="50">
        <v>1.0</v>
      </c>
      <c r="F33" s="43">
        <v>5500.0</v>
      </c>
      <c r="G33" s="53">
        <f t="shared" si="3"/>
        <v>5500</v>
      </c>
      <c r="H33" s="6" t="s">
        <v>644</v>
      </c>
    </row>
    <row r="34" ht="15.75" customHeight="1">
      <c r="A34" s="2"/>
      <c r="B34" s="15" t="s">
        <v>645</v>
      </c>
      <c r="C34" s="20"/>
      <c r="D34" s="20"/>
      <c r="E34" s="20"/>
      <c r="F34" s="20"/>
      <c r="G34" s="62">
        <f>SUM(G29:G33)</f>
        <v>8930</v>
      </c>
      <c r="H34" s="20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33" t="str">
        <f>"D. Imbottigliamento ("&amp;ROUND(Parametri!C27*100,0)&amp;"% del volume)"</f>
        <v>D. Imbottigliamento (20% del volume)</v>
      </c>
      <c r="B36" s="34"/>
      <c r="C36" s="34"/>
      <c r="D36" s="34"/>
      <c r="E36" s="34"/>
      <c r="F36" s="34"/>
      <c r="G36" s="34"/>
      <c r="H36" s="34"/>
    </row>
    <row r="37" ht="30.0" customHeight="1">
      <c r="A37" s="8">
        <v>23.0</v>
      </c>
      <c r="B37" s="5" t="s">
        <v>647</v>
      </c>
      <c r="C37" s="6" t="s">
        <v>648</v>
      </c>
      <c r="D37" s="8" t="s">
        <v>558</v>
      </c>
      <c r="E37" s="50">
        <v>1.0</v>
      </c>
      <c r="F37" s="43">
        <v>1200.0</v>
      </c>
      <c r="G37" s="53">
        <f t="shared" ref="G37:G40" si="4">E37*F37</f>
        <v>1200</v>
      </c>
      <c r="H37" s="6" t="s">
        <v>649</v>
      </c>
    </row>
    <row r="38" ht="30.0" customHeight="1">
      <c r="A38" s="8">
        <v>24.0</v>
      </c>
      <c r="B38" s="5" t="s">
        <v>650</v>
      </c>
      <c r="C38" s="6" t="s">
        <v>651</v>
      </c>
      <c r="D38" s="8" t="s">
        <v>558</v>
      </c>
      <c r="E38" s="50">
        <v>1.0</v>
      </c>
      <c r="F38" s="43">
        <v>250.0</v>
      </c>
      <c r="G38" s="53">
        <f t="shared" si="4"/>
        <v>250</v>
      </c>
      <c r="H38" s="6" t="s">
        <v>438</v>
      </c>
    </row>
    <row r="39" ht="30.0" customHeight="1">
      <c r="A39" s="8">
        <v>25.0</v>
      </c>
      <c r="B39" s="5" t="s">
        <v>653</v>
      </c>
      <c r="C39" s="6" t="s">
        <v>654</v>
      </c>
      <c r="D39" s="8" t="s">
        <v>558</v>
      </c>
      <c r="E39" s="50">
        <v>1.0</v>
      </c>
      <c r="F39" s="43">
        <v>300.0</v>
      </c>
      <c r="G39" s="53">
        <f t="shared" si="4"/>
        <v>300</v>
      </c>
      <c r="H39" s="6" t="s">
        <v>609</v>
      </c>
    </row>
    <row r="40" ht="30.0" customHeight="1">
      <c r="A40" s="8">
        <v>26.0</v>
      </c>
      <c r="B40" s="5" t="s">
        <v>656</v>
      </c>
      <c r="C40" s="6" t="s">
        <v>657</v>
      </c>
      <c r="D40" s="8" t="s">
        <v>558</v>
      </c>
      <c r="E40" s="50">
        <v>1.0</v>
      </c>
      <c r="F40" s="43">
        <v>200.0</v>
      </c>
      <c r="G40" s="53">
        <f t="shared" si="4"/>
        <v>200</v>
      </c>
      <c r="H40" s="6" t="s">
        <v>609</v>
      </c>
    </row>
    <row r="41" ht="15.75" customHeight="1">
      <c r="A41" s="2"/>
      <c r="B41" s="15" t="s">
        <v>663</v>
      </c>
      <c r="C41" s="20"/>
      <c r="D41" s="20"/>
      <c r="E41" s="20"/>
      <c r="F41" s="20"/>
      <c r="G41" s="62">
        <f>SUM(G37:G40)</f>
        <v>1950</v>
      </c>
      <c r="H41" s="20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33" t="s">
        <v>667</v>
      </c>
      <c r="B43" s="34"/>
      <c r="C43" s="34"/>
      <c r="D43" s="34"/>
      <c r="E43" s="34"/>
      <c r="F43" s="34"/>
      <c r="G43" s="34"/>
      <c r="H43" s="34"/>
    </row>
    <row r="44" ht="30.0" customHeight="1">
      <c r="A44" s="8">
        <v>27.0</v>
      </c>
      <c r="B44" s="5" t="s">
        <v>668</v>
      </c>
      <c r="C44" s="6" t="s">
        <v>669</v>
      </c>
      <c r="D44" s="8" t="s">
        <v>558</v>
      </c>
      <c r="E44" s="50">
        <v>1.0</v>
      </c>
      <c r="F44" s="43">
        <v>2500.0</v>
      </c>
      <c r="G44" s="53">
        <f t="shared" ref="G44:G53" si="5">E44*F44</f>
        <v>2500</v>
      </c>
      <c r="H44" s="6" t="s">
        <v>438</v>
      </c>
    </row>
    <row r="45" ht="30.0" customHeight="1">
      <c r="A45" s="8">
        <v>28.0</v>
      </c>
      <c r="B45" s="5" t="s">
        <v>670</v>
      </c>
      <c r="C45" s="6" t="s">
        <v>671</v>
      </c>
      <c r="D45" s="8" t="s">
        <v>558</v>
      </c>
      <c r="E45" s="50">
        <v>1.0</v>
      </c>
      <c r="F45" s="43">
        <v>600.0</v>
      </c>
      <c r="G45" s="53">
        <f t="shared" si="5"/>
        <v>600</v>
      </c>
      <c r="H45" s="6" t="s">
        <v>672</v>
      </c>
    </row>
    <row r="46" ht="30.0" customHeight="1">
      <c r="A46" s="8">
        <v>29.0</v>
      </c>
      <c r="B46" s="5" t="s">
        <v>673</v>
      </c>
      <c r="C46" s="6" t="s">
        <v>674</v>
      </c>
      <c r="D46" s="8" t="s">
        <v>558</v>
      </c>
      <c r="E46" s="50">
        <v>1.0</v>
      </c>
      <c r="F46" s="43">
        <v>2500.0</v>
      </c>
      <c r="G46" s="53">
        <f t="shared" si="5"/>
        <v>2500</v>
      </c>
      <c r="H46" s="6" t="s">
        <v>438</v>
      </c>
    </row>
    <row r="47" ht="30.0" customHeight="1">
      <c r="A47" s="8">
        <v>30.0</v>
      </c>
      <c r="B47" s="5" t="s">
        <v>675</v>
      </c>
      <c r="C47" s="6" t="s">
        <v>676</v>
      </c>
      <c r="D47" s="8" t="s">
        <v>558</v>
      </c>
      <c r="E47" s="50">
        <v>1.0</v>
      </c>
      <c r="F47" s="43">
        <v>300.0</v>
      </c>
      <c r="G47" s="53">
        <f t="shared" si="5"/>
        <v>300</v>
      </c>
      <c r="H47" s="6" t="s">
        <v>677</v>
      </c>
    </row>
    <row r="48" ht="45.0" customHeight="1">
      <c r="A48" s="8">
        <v>31.0</v>
      </c>
      <c r="B48" s="5" t="s">
        <v>678</v>
      </c>
      <c r="C48" s="6" t="s">
        <v>679</v>
      </c>
      <c r="D48" s="8" t="s">
        <v>558</v>
      </c>
      <c r="E48" s="50">
        <v>1.0</v>
      </c>
      <c r="F48" s="43">
        <v>1500.0</v>
      </c>
      <c r="G48" s="53">
        <f t="shared" si="5"/>
        <v>1500</v>
      </c>
      <c r="H48" s="6" t="s">
        <v>680</v>
      </c>
    </row>
    <row r="49" ht="30.0" customHeight="1">
      <c r="A49" s="8">
        <v>32.0</v>
      </c>
      <c r="B49" s="5" t="s">
        <v>681</v>
      </c>
      <c r="C49" s="6" t="s">
        <v>682</v>
      </c>
      <c r="D49" s="8" t="s">
        <v>558</v>
      </c>
      <c r="E49" s="50">
        <v>1.0</v>
      </c>
      <c r="F49" s="43">
        <v>1250.0</v>
      </c>
      <c r="G49" s="53">
        <f t="shared" si="5"/>
        <v>1250</v>
      </c>
      <c r="H49" s="6" t="s">
        <v>683</v>
      </c>
    </row>
    <row r="50" ht="30.0" customHeight="1">
      <c r="A50" s="8">
        <v>33.0</v>
      </c>
      <c r="B50" s="5" t="s">
        <v>684</v>
      </c>
      <c r="C50" s="6" t="s">
        <v>685</v>
      </c>
      <c r="D50" s="8" t="s">
        <v>558</v>
      </c>
      <c r="E50" s="50">
        <v>1.0</v>
      </c>
      <c r="F50" s="43">
        <v>600.0</v>
      </c>
      <c r="G50" s="53">
        <f t="shared" si="5"/>
        <v>600</v>
      </c>
      <c r="H50" s="6" t="s">
        <v>686</v>
      </c>
    </row>
    <row r="51" ht="30.0" customHeight="1">
      <c r="A51" s="8">
        <v>34.0</v>
      </c>
      <c r="B51" s="5" t="s">
        <v>687</v>
      </c>
      <c r="C51" s="6" t="s">
        <v>688</v>
      </c>
      <c r="D51" s="8" t="s">
        <v>558</v>
      </c>
      <c r="E51" s="50">
        <v>1.0</v>
      </c>
      <c r="F51" s="43">
        <v>0.0</v>
      </c>
      <c r="G51" s="53">
        <f t="shared" si="5"/>
        <v>0</v>
      </c>
      <c r="H51" s="6" t="s">
        <v>689</v>
      </c>
    </row>
    <row r="52" ht="30.0" customHeight="1">
      <c r="A52" s="8">
        <v>35.0</v>
      </c>
      <c r="B52" s="5" t="s">
        <v>690</v>
      </c>
      <c r="C52" s="6" t="s">
        <v>691</v>
      </c>
      <c r="D52" s="8" t="s">
        <v>558</v>
      </c>
      <c r="E52" s="58">
        <f>Parametri!$C$89</f>
        <v>0</v>
      </c>
      <c r="F52" s="45">
        <f>Parametri!$C$73</f>
        <v>0</v>
      </c>
      <c r="G52" s="53">
        <f t="shared" si="5"/>
        <v>0</v>
      </c>
      <c r="H52" s="6" t="s">
        <v>692</v>
      </c>
    </row>
    <row r="53" ht="15.75" customHeight="1">
      <c r="A53" s="8">
        <v>36.0</v>
      </c>
      <c r="B53" s="5" t="s">
        <v>693</v>
      </c>
      <c r="C53" s="6" t="s">
        <v>694</v>
      </c>
      <c r="D53" s="8" t="s">
        <v>558</v>
      </c>
      <c r="E53" s="50">
        <v>1.0</v>
      </c>
      <c r="F53" s="45">
        <f>-SUM(G44:G50)*(1-Parametri!$C$97)</f>
        <v>0</v>
      </c>
      <c r="G53" s="53">
        <f t="shared" si="5"/>
        <v>0</v>
      </c>
      <c r="H53" s="6" t="s">
        <v>695</v>
      </c>
    </row>
    <row r="54" ht="15.75" customHeight="1">
      <c r="A54" s="2"/>
      <c r="B54" s="15" t="s">
        <v>696</v>
      </c>
      <c r="C54" s="20"/>
      <c r="D54" s="20"/>
      <c r="E54" s="20"/>
      <c r="F54" s="20"/>
      <c r="G54" s="62">
        <f>SUM(G44:G53)</f>
        <v>9250</v>
      </c>
      <c r="H54" s="20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33" t="s">
        <v>700</v>
      </c>
      <c r="B56" s="34"/>
      <c r="C56" s="34"/>
      <c r="D56" s="34"/>
      <c r="E56" s="34"/>
      <c r="F56" s="34"/>
      <c r="G56" s="34"/>
      <c r="H56" s="34"/>
    </row>
    <row r="57" ht="30.0" customHeight="1">
      <c r="A57" s="8">
        <v>37.0</v>
      </c>
      <c r="B57" s="5" t="s">
        <v>702</v>
      </c>
      <c r="C57" s="6" t="s">
        <v>703</v>
      </c>
      <c r="D57" s="8" t="s">
        <v>558</v>
      </c>
      <c r="E57" s="50">
        <v>1.0</v>
      </c>
      <c r="F57" s="43">
        <v>1500.0</v>
      </c>
      <c r="G57" s="53">
        <f t="shared" ref="G57:G65" si="6">E57*F57</f>
        <v>1500</v>
      </c>
      <c r="H57" s="6" t="s">
        <v>707</v>
      </c>
    </row>
    <row r="58" ht="30.0" customHeight="1">
      <c r="A58" s="8">
        <v>38.0</v>
      </c>
      <c r="B58" s="5" t="s">
        <v>708</v>
      </c>
      <c r="C58" s="6" t="s">
        <v>709</v>
      </c>
      <c r="D58" s="8" t="s">
        <v>558</v>
      </c>
      <c r="E58" s="50">
        <v>1.0</v>
      </c>
      <c r="F58" s="43">
        <v>300.0</v>
      </c>
      <c r="G58" s="53">
        <f t="shared" si="6"/>
        <v>300</v>
      </c>
      <c r="H58" s="6" t="s">
        <v>710</v>
      </c>
    </row>
    <row r="59" ht="30.0" customHeight="1">
      <c r="A59" s="8">
        <v>39.0</v>
      </c>
      <c r="B59" s="5" t="s">
        <v>711</v>
      </c>
      <c r="C59" s="6" t="s">
        <v>712</v>
      </c>
      <c r="D59" s="8" t="s">
        <v>558</v>
      </c>
      <c r="E59" s="50">
        <v>1.0</v>
      </c>
      <c r="F59" s="43">
        <v>300.0</v>
      </c>
      <c r="G59" s="53">
        <f t="shared" si="6"/>
        <v>300</v>
      </c>
      <c r="H59" s="6" t="s">
        <v>713</v>
      </c>
    </row>
    <row r="60" ht="30.0" customHeight="1">
      <c r="A60" s="8">
        <v>40.0</v>
      </c>
      <c r="B60" s="5" t="s">
        <v>714</v>
      </c>
      <c r="C60" s="6" t="s">
        <v>715</v>
      </c>
      <c r="D60" s="8" t="s">
        <v>558</v>
      </c>
      <c r="E60" s="50">
        <v>1.0</v>
      </c>
      <c r="F60" s="43">
        <v>500.0</v>
      </c>
      <c r="G60" s="53">
        <f t="shared" si="6"/>
        <v>500</v>
      </c>
      <c r="H60" s="6" t="s">
        <v>716</v>
      </c>
    </row>
    <row r="61" ht="30.0" customHeight="1">
      <c r="A61" s="8">
        <v>41.0</v>
      </c>
      <c r="B61" s="5" t="s">
        <v>717</v>
      </c>
      <c r="C61" s="6" t="s">
        <v>718</v>
      </c>
      <c r="D61" s="8" t="s">
        <v>558</v>
      </c>
      <c r="E61" s="50">
        <v>1.0</v>
      </c>
      <c r="F61" s="43">
        <v>500.0</v>
      </c>
      <c r="G61" s="53">
        <f t="shared" si="6"/>
        <v>500</v>
      </c>
      <c r="H61" s="6" t="s">
        <v>719</v>
      </c>
    </row>
    <row r="62" ht="30.0" customHeight="1">
      <c r="A62" s="8">
        <v>42.0</v>
      </c>
      <c r="B62" s="5" t="s">
        <v>720</v>
      </c>
      <c r="C62" s="6" t="s">
        <v>721</v>
      </c>
      <c r="D62" s="8" t="s">
        <v>558</v>
      </c>
      <c r="E62" s="50">
        <v>1.0</v>
      </c>
      <c r="F62" s="43">
        <v>500.0</v>
      </c>
      <c r="G62" s="53">
        <f t="shared" si="6"/>
        <v>500</v>
      </c>
      <c r="H62" s="6" t="s">
        <v>438</v>
      </c>
    </row>
    <row r="63" ht="30.0" customHeight="1">
      <c r="A63" s="8">
        <v>43.0</v>
      </c>
      <c r="B63" s="5" t="s">
        <v>722</v>
      </c>
      <c r="C63" s="6" t="s">
        <v>723</v>
      </c>
      <c r="D63" s="8" t="s">
        <v>558</v>
      </c>
      <c r="E63" s="50">
        <v>1.0</v>
      </c>
      <c r="F63" s="43">
        <v>300.0</v>
      </c>
      <c r="G63" s="53">
        <f t="shared" si="6"/>
        <v>300</v>
      </c>
      <c r="H63" s="6" t="s">
        <v>724</v>
      </c>
    </row>
    <row r="64" ht="30.0" customHeight="1">
      <c r="A64" s="8">
        <v>44.0</v>
      </c>
      <c r="B64" s="5" t="s">
        <v>725</v>
      </c>
      <c r="C64" s="6" t="s">
        <v>726</v>
      </c>
      <c r="D64" s="8" t="s">
        <v>558</v>
      </c>
      <c r="E64" s="50">
        <v>1.0</v>
      </c>
      <c r="F64" s="43">
        <v>100.0</v>
      </c>
      <c r="G64" s="53">
        <f t="shared" si="6"/>
        <v>100</v>
      </c>
      <c r="H64" s="6" t="s">
        <v>727</v>
      </c>
    </row>
    <row r="65" ht="30.0" customHeight="1">
      <c r="A65" s="8">
        <v>45.0</v>
      </c>
      <c r="B65" s="5" t="s">
        <v>728</v>
      </c>
      <c r="C65" s="6" t="s">
        <v>729</v>
      </c>
      <c r="D65" s="8" t="s">
        <v>558</v>
      </c>
      <c r="E65" s="50">
        <v>1.0</v>
      </c>
      <c r="F65" s="43">
        <v>300.0</v>
      </c>
      <c r="G65" s="53">
        <f t="shared" si="6"/>
        <v>300</v>
      </c>
      <c r="H65" s="6" t="s">
        <v>730</v>
      </c>
    </row>
    <row r="66" ht="15.75" customHeight="1">
      <c r="A66" s="2"/>
      <c r="B66" s="15" t="s">
        <v>731</v>
      </c>
      <c r="C66" s="20"/>
      <c r="D66" s="20"/>
      <c r="E66" s="20"/>
      <c r="F66" s="20"/>
      <c r="G66" s="62">
        <f>SUM(G57:G65)</f>
        <v>4300</v>
      </c>
      <c r="H66" s="20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33" t="s">
        <v>732</v>
      </c>
      <c r="B68" s="34"/>
      <c r="C68" s="34"/>
      <c r="D68" s="34"/>
      <c r="E68" s="34"/>
      <c r="F68" s="34"/>
      <c r="G68" s="34"/>
      <c r="H68" s="34"/>
    </row>
    <row r="69" ht="15.75" customHeight="1">
      <c r="A69" s="2"/>
      <c r="B69" s="5" t="s">
        <v>733</v>
      </c>
      <c r="C69" s="6" t="s">
        <v>734</v>
      </c>
      <c r="D69" s="6"/>
      <c r="E69" s="6"/>
      <c r="F69" s="6"/>
      <c r="G69" s="24">
        <f>-(G8+G20+G21+G22+G25+G30+G31+G37+G38)*Parametri!$C$96</f>
        <v>-3887.6</v>
      </c>
      <c r="H69" s="6"/>
    </row>
    <row r="70" ht="15.75" customHeight="1">
      <c r="A70" s="2"/>
      <c r="B70" s="15" t="s">
        <v>735</v>
      </c>
      <c r="C70" s="20"/>
      <c r="D70" s="20"/>
      <c r="E70" s="20"/>
      <c r="F70" s="20"/>
      <c r="G70" s="62">
        <f>G17+G26+G34+G41+G54+G66+G69</f>
        <v>53535.4</v>
      </c>
      <c r="H70" s="20"/>
    </row>
    <row r="71" ht="15.75" customHeight="1">
      <c r="A71" s="2"/>
      <c r="B71" s="5" t="s">
        <v>736</v>
      </c>
      <c r="C71" s="6" t="s">
        <v>737</v>
      </c>
      <c r="D71" s="6"/>
      <c r="E71" s="6"/>
      <c r="F71" s="6"/>
      <c r="G71" s="24">
        <f>G70*Parametri!$C$95</f>
        <v>5353.54</v>
      </c>
      <c r="H71" s="6"/>
    </row>
    <row r="72" ht="15.75" customHeight="1">
      <c r="A72" s="2"/>
      <c r="B72" s="5" t="s">
        <v>534</v>
      </c>
      <c r="C72" s="6" t="s">
        <v>738</v>
      </c>
      <c r="D72" s="6"/>
      <c r="E72" s="6"/>
      <c r="F72" s="6"/>
      <c r="G72" s="24">
        <f>Parametri!$C$94/12*('Business plan'!C27+'Business plan'!C42)</f>
        <v>1422.751175</v>
      </c>
      <c r="H72" s="6"/>
    </row>
    <row r="73" ht="15.75" customHeight="1">
      <c r="A73" s="2"/>
      <c r="B73" s="15" t="s">
        <v>739</v>
      </c>
      <c r="C73" s="20"/>
      <c r="D73" s="20"/>
      <c r="E73" s="20"/>
      <c r="F73" s="20"/>
      <c r="G73" s="62">
        <f>G70+G71+G72</f>
        <v>60311.69118</v>
      </c>
      <c r="H73" s="20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67" t="s">
        <v>740</v>
      </c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hyperlinks>
    <hyperlink r:id="rId1" ref="H6"/>
    <hyperlink r:id="rId2" ref="H7"/>
    <hyperlink r:id="rId3" ref="H8"/>
    <hyperlink r:id="rId4" ref="H10"/>
    <hyperlink r:id="rId5" ref="H11"/>
    <hyperlink r:id="rId6" ref="H14"/>
    <hyperlink r:id="rId7" ref="H20"/>
    <hyperlink r:id="rId8" ref="H21"/>
  </hyperlinks>
  <printOptions/>
  <pageMargins bottom="1.0" footer="0.0" header="0.0" left="0.75" right="0.75" top="1.0"/>
  <pageSetup paperSize="9" orientation="portrait"/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11.0"/>
    <col customWidth="1" min="3" max="3" width="10.0"/>
    <col customWidth="1" min="4" max="4" width="14.0"/>
    <col customWidth="1" min="5" max="5" width="16.0"/>
    <col customWidth="1" min="6" max="6" width="14.0"/>
    <col customWidth="1" min="7" max="7" width="17.0"/>
    <col customWidth="1" min="8" max="8" width="14.0"/>
    <col customWidth="1" min="9" max="12" width="16.0"/>
  </cols>
  <sheetData>
    <row r="1" ht="18.0" customHeight="1">
      <c r="A1" s="1" t="s">
        <v>617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618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23.25" customHeight="1">
      <c r="A4" s="4" t="s">
        <v>619</v>
      </c>
      <c r="B4" s="4" t="s">
        <v>620</v>
      </c>
      <c r="C4" s="4" t="s">
        <v>621</v>
      </c>
      <c r="D4" s="4" t="s">
        <v>622</v>
      </c>
      <c r="E4" s="4" t="s">
        <v>623</v>
      </c>
      <c r="F4" s="4" t="s">
        <v>624</v>
      </c>
      <c r="G4" s="4" t="s">
        <v>625</v>
      </c>
      <c r="H4" s="4" t="s">
        <v>626</v>
      </c>
      <c r="I4" s="4" t="s">
        <v>628</v>
      </c>
      <c r="J4" s="4" t="s">
        <v>629</v>
      </c>
      <c r="K4" s="4" t="s">
        <v>630</v>
      </c>
      <c r="L4" s="4" t="s">
        <v>631</v>
      </c>
    </row>
    <row r="5" ht="15.0" customHeight="1">
      <c r="A5" s="5" t="s">
        <v>632</v>
      </c>
      <c r="B5" s="13">
        <v>0.4</v>
      </c>
      <c r="C5" s="7">
        <v>12.0</v>
      </c>
      <c r="D5" s="7">
        <v>20.0</v>
      </c>
      <c r="E5" s="43">
        <v>1.3</v>
      </c>
      <c r="F5" s="12">
        <v>120.0</v>
      </c>
      <c r="G5" s="43">
        <v>35.0</v>
      </c>
      <c r="H5" s="43">
        <v>3.0</v>
      </c>
      <c r="I5" s="43">
        <v>1.5</v>
      </c>
      <c r="J5" s="63">
        <f t="shared" ref="J5:J7" si="1">D5*E5</f>
        <v>26</v>
      </c>
      <c r="K5" s="63">
        <f t="shared" ref="K5:K7" si="2">F5/1000*G5</f>
        <v>4.2</v>
      </c>
      <c r="L5" s="63">
        <f t="shared" ref="L5:L7" si="3">J5+K5+H5+I5</f>
        <v>34.7</v>
      </c>
    </row>
    <row r="6" ht="15.0" customHeight="1">
      <c r="A6" s="5" t="s">
        <v>638</v>
      </c>
      <c r="B6" s="13">
        <v>0.35</v>
      </c>
      <c r="C6" s="7">
        <v>14.0</v>
      </c>
      <c r="D6" s="7">
        <v>23.0</v>
      </c>
      <c r="E6" s="43">
        <v>1.4</v>
      </c>
      <c r="F6" s="12">
        <v>300.0</v>
      </c>
      <c r="G6" s="43">
        <v>40.0</v>
      </c>
      <c r="H6" s="43">
        <v>4.0</v>
      </c>
      <c r="I6" s="43">
        <v>1.5</v>
      </c>
      <c r="J6" s="63">
        <f t="shared" si="1"/>
        <v>32.2</v>
      </c>
      <c r="K6" s="63">
        <f t="shared" si="2"/>
        <v>12</v>
      </c>
      <c r="L6" s="63">
        <f t="shared" si="3"/>
        <v>49.7</v>
      </c>
    </row>
    <row r="7" ht="15.0" customHeight="1">
      <c r="A7" s="5" t="s">
        <v>641</v>
      </c>
      <c r="B7" s="13">
        <v>0.25</v>
      </c>
      <c r="C7" s="7">
        <v>16.0</v>
      </c>
      <c r="D7" s="7">
        <v>26.0</v>
      </c>
      <c r="E7" s="43">
        <v>1.5</v>
      </c>
      <c r="F7" s="12">
        <v>700.0</v>
      </c>
      <c r="G7" s="43">
        <v>45.0</v>
      </c>
      <c r="H7" s="43">
        <v>4.5</v>
      </c>
      <c r="I7" s="43">
        <v>1.5</v>
      </c>
      <c r="J7" s="63">
        <f t="shared" si="1"/>
        <v>39</v>
      </c>
      <c r="K7" s="63">
        <f t="shared" si="2"/>
        <v>31.5</v>
      </c>
      <c r="L7" s="63">
        <f t="shared" si="3"/>
        <v>76.5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ht="15.0" customHeight="1">
      <c r="A9" s="15" t="s">
        <v>646</v>
      </c>
      <c r="B9" s="64">
        <f>SUM(B5:B7)</f>
        <v>1</v>
      </c>
      <c r="C9" s="65">
        <f>SUMPRODUCT(B5:B7,C5:C7)</f>
        <v>13.7</v>
      </c>
      <c r="D9" s="20"/>
      <c r="E9" s="20"/>
      <c r="F9" s="20"/>
      <c r="G9" s="20"/>
      <c r="H9" s="20"/>
      <c r="I9" s="2"/>
      <c r="J9" s="2"/>
      <c r="K9" s="2"/>
      <c r="L9" s="66">
        <f>SUMPRODUCT(B5:B7,L5:L7)</f>
        <v>50.4</v>
      </c>
    </row>
    <row r="10" ht="15.0" customHeight="1">
      <c r="A10" s="22" t="s">
        <v>652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15.0" customHeight="1">
      <c r="A12" s="21" t="s">
        <v>655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23.25" customHeight="1">
      <c r="A13" s="4" t="s">
        <v>619</v>
      </c>
      <c r="B13" s="4" t="s">
        <v>658</v>
      </c>
      <c r="C13" s="4" t="s">
        <v>659</v>
      </c>
      <c r="D13" s="4" t="s">
        <v>660</v>
      </c>
      <c r="E13" s="4" t="s">
        <v>661</v>
      </c>
      <c r="F13" s="4" t="s">
        <v>662</v>
      </c>
      <c r="G13" s="4" t="s">
        <v>664</v>
      </c>
      <c r="H13" s="4" t="s">
        <v>665</v>
      </c>
      <c r="I13" s="4" t="s">
        <v>666</v>
      </c>
      <c r="J13" s="2"/>
      <c r="K13" s="2"/>
      <c r="L13" s="2"/>
    </row>
    <row r="14" ht="15.0" customHeight="1">
      <c r="A14" s="5" t="str">
        <f t="shared" ref="A14:A16" si="4">A5</f>
        <v>Pils / Blonde (leggera, bevibile)</v>
      </c>
      <c r="B14" s="28">
        <f>Parametri!$C$7</f>
        <v>180</v>
      </c>
      <c r="C14" s="37">
        <f t="shared" ref="C14:C16" si="5">D5*B14/100</f>
        <v>36</v>
      </c>
      <c r="D14" s="63">
        <f t="shared" ref="D14:D16" si="6">C14*E5</f>
        <v>46.8</v>
      </c>
      <c r="E14" s="38">
        <f t="shared" ref="E14:E16" si="7">F5*B14/100</f>
        <v>216</v>
      </c>
      <c r="F14" s="63">
        <f t="shared" ref="F14:F16" si="8">E14/1000*G5</f>
        <v>7.56</v>
      </c>
      <c r="G14" s="63">
        <f t="shared" ref="G14:G16" si="9">(H5+I5)*B14/100</f>
        <v>8.1</v>
      </c>
      <c r="H14" s="63">
        <f t="shared" ref="H14:H16" si="10">D14+F14+G14</f>
        <v>62.46</v>
      </c>
      <c r="I14" s="63">
        <f t="shared" ref="I14:I16" si="11">H14/B14</f>
        <v>0.347</v>
      </c>
      <c r="J14" s="2"/>
      <c r="K14" s="2"/>
      <c r="L14" s="2"/>
    </row>
    <row r="15" ht="15.0" customHeight="1">
      <c r="A15" s="5" t="str">
        <f t="shared" si="4"/>
        <v>Pale Ale / APA</v>
      </c>
      <c r="B15" s="28">
        <f>Parametri!$C$7</f>
        <v>180</v>
      </c>
      <c r="C15" s="37">
        <f t="shared" si="5"/>
        <v>41.4</v>
      </c>
      <c r="D15" s="63">
        <f t="shared" si="6"/>
        <v>57.96</v>
      </c>
      <c r="E15" s="38">
        <f t="shared" si="7"/>
        <v>540</v>
      </c>
      <c r="F15" s="63">
        <f t="shared" si="8"/>
        <v>21.6</v>
      </c>
      <c r="G15" s="63">
        <f t="shared" si="9"/>
        <v>9.9</v>
      </c>
      <c r="H15" s="63">
        <f t="shared" si="10"/>
        <v>89.46</v>
      </c>
      <c r="I15" s="63">
        <f t="shared" si="11"/>
        <v>0.497</v>
      </c>
      <c r="J15" s="2"/>
      <c r="K15" s="2"/>
      <c r="L15" s="2"/>
    </row>
    <row r="16" ht="15.0" customHeight="1">
      <c r="A16" s="5" t="str">
        <f t="shared" si="4"/>
        <v>IPA (luppolata)</v>
      </c>
      <c r="B16" s="28">
        <f>Parametri!$C$7</f>
        <v>180</v>
      </c>
      <c r="C16" s="37">
        <f t="shared" si="5"/>
        <v>46.8</v>
      </c>
      <c r="D16" s="63">
        <f t="shared" si="6"/>
        <v>70.2</v>
      </c>
      <c r="E16" s="38">
        <f t="shared" si="7"/>
        <v>1260</v>
      </c>
      <c r="F16" s="63">
        <f t="shared" si="8"/>
        <v>56.7</v>
      </c>
      <c r="G16" s="63">
        <f t="shared" si="9"/>
        <v>10.8</v>
      </c>
      <c r="H16" s="63">
        <f t="shared" si="10"/>
        <v>137.7</v>
      </c>
      <c r="I16" s="63">
        <f t="shared" si="11"/>
        <v>0.765</v>
      </c>
      <c r="J16" s="2"/>
      <c r="K16" s="2"/>
      <c r="L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15.0" customHeight="1">
      <c r="A18" s="21" t="s">
        <v>697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15.0" customHeight="1">
      <c r="A19" s="22" t="s">
        <v>698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15.0" customHeight="1">
      <c r="A20" s="22" t="s">
        <v>699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ht="15.75" customHeight="1">
      <c r="A21" s="22" t="s">
        <v>701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ht="15.75" customHeight="1">
      <c r="A22" s="22" t="s">
        <v>704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ht="15.75" customHeight="1">
      <c r="A23" s="22" t="s">
        <v>705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ht="15.75" customHeight="1">
      <c r="A24" s="22" t="s">
        <v>706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2.0"/>
    <col customWidth="1" min="2" max="2" width="14.0"/>
    <col customWidth="1" min="3" max="17" width="13.0"/>
  </cols>
  <sheetData>
    <row r="1" ht="18.0" customHeight="1">
      <c r="A1" s="1" t="s">
        <v>741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16" t="str">
        <f>"Scenario: "&amp;Parametri!$C$6</f>
        <v>Scenario: K220 2V + 3×UT-200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15.0" customHeight="1">
      <c r="A4" s="4" t="s">
        <v>742</v>
      </c>
      <c r="B4" s="4" t="s">
        <v>743</v>
      </c>
      <c r="C4" s="4" t="s">
        <v>744</v>
      </c>
      <c r="D4" s="4" t="s">
        <v>745</v>
      </c>
      <c r="E4" s="4" t="s">
        <v>746</v>
      </c>
      <c r="F4" s="4" t="s">
        <v>747</v>
      </c>
      <c r="G4" s="4" t="s">
        <v>748</v>
      </c>
      <c r="H4" s="4" t="s">
        <v>749</v>
      </c>
      <c r="I4" s="4" t="s">
        <v>750</v>
      </c>
      <c r="J4" s="4" t="s">
        <v>751</v>
      </c>
      <c r="K4" s="4" t="s">
        <v>752</v>
      </c>
      <c r="L4" s="4" t="s">
        <v>753</v>
      </c>
      <c r="M4" s="4" t="s">
        <v>754</v>
      </c>
      <c r="N4" s="4" t="s">
        <v>755</v>
      </c>
      <c r="O4" s="4" t="s">
        <v>756</v>
      </c>
      <c r="P4" s="4" t="s">
        <v>757</v>
      </c>
      <c r="Q4" s="4" t="s">
        <v>758</v>
      </c>
    </row>
    <row r="5" ht="15.0" customHeight="1">
      <c r="A5" s="6" t="s">
        <v>759</v>
      </c>
      <c r="B5" s="30"/>
      <c r="C5" s="30">
        <f>Parametri!$C$39</f>
        <v>0.4</v>
      </c>
      <c r="D5" s="30">
        <f>Parametri!$C$40</f>
        <v>0.65</v>
      </c>
      <c r="E5" s="30">
        <f>Parametri!$C$41</f>
        <v>0.85</v>
      </c>
      <c r="F5" s="30">
        <f>Parametri!$C$42</f>
        <v>1</v>
      </c>
      <c r="G5" s="30">
        <f>Parametri!$C$43</f>
        <v>1</v>
      </c>
      <c r="H5" s="30">
        <f>Parametri!$C$43</f>
        <v>1</v>
      </c>
      <c r="I5" s="30">
        <f>Parametri!$C$43</f>
        <v>1</v>
      </c>
      <c r="J5" s="30">
        <f>Parametri!$C$43</f>
        <v>1</v>
      </c>
      <c r="K5" s="30">
        <f>Parametri!$C$43</f>
        <v>1</v>
      </c>
      <c r="L5" s="30">
        <f>Parametri!$C$43</f>
        <v>1</v>
      </c>
      <c r="M5" s="30">
        <f>Parametri!$C$43</f>
        <v>1</v>
      </c>
      <c r="N5" s="30">
        <f>Parametri!$C$43</f>
        <v>1</v>
      </c>
      <c r="O5" s="30">
        <f>Parametri!$C$43</f>
        <v>1</v>
      </c>
      <c r="P5" s="30">
        <f>Parametri!$C$43</f>
        <v>1</v>
      </c>
      <c r="Q5" s="30">
        <f>Parametri!$C$43</f>
        <v>1</v>
      </c>
    </row>
    <row r="6" ht="15.0" customHeight="1">
      <c r="A6" s="6" t="s">
        <v>760</v>
      </c>
      <c r="B6" s="28"/>
      <c r="C6" s="28">
        <f>Parametri!$C$16</f>
        <v>8280</v>
      </c>
      <c r="D6" s="28">
        <f>Parametri!$C$16</f>
        <v>8280</v>
      </c>
      <c r="E6" s="28">
        <f>Parametri!$C$16</f>
        <v>8280</v>
      </c>
      <c r="F6" s="28">
        <f>Parametri!$C$16</f>
        <v>8280</v>
      </c>
      <c r="G6" s="28">
        <f>Parametri!$C$16</f>
        <v>8280</v>
      </c>
      <c r="H6" s="28">
        <f>Parametri!$C$16</f>
        <v>8280</v>
      </c>
      <c r="I6" s="28">
        <f>Parametri!$C$16</f>
        <v>8280</v>
      </c>
      <c r="J6" s="28">
        <f>Parametri!$C$16</f>
        <v>8280</v>
      </c>
      <c r="K6" s="28">
        <f>Parametri!$C$16</f>
        <v>8280</v>
      </c>
      <c r="L6" s="28">
        <f>Parametri!$C$16</f>
        <v>8280</v>
      </c>
      <c r="M6" s="28">
        <f>Parametri!$C$16</f>
        <v>8280</v>
      </c>
      <c r="N6" s="28">
        <f>Parametri!$C$16</f>
        <v>8280</v>
      </c>
      <c r="O6" s="28">
        <f>Parametri!$C$16</f>
        <v>8280</v>
      </c>
      <c r="P6" s="28">
        <f>Parametri!$C$16</f>
        <v>8280</v>
      </c>
      <c r="Q6" s="28">
        <f>Parametri!$C$16</f>
        <v>8280</v>
      </c>
    </row>
    <row r="7" ht="15.0" customHeight="1">
      <c r="A7" s="6" t="s">
        <v>761</v>
      </c>
      <c r="B7" s="28"/>
      <c r="C7" s="28">
        <f>MIN(C6,Parametri!$C$25*C5/(1-Parametri!$C$28))</f>
        <v>2253.75</v>
      </c>
      <c r="D7" s="28">
        <f>MIN(D6,Parametri!$C$25*D5/(1-Parametri!$C$28))</f>
        <v>3662.34375</v>
      </c>
      <c r="E7" s="28">
        <f>MIN(E6,Parametri!$C$25*E5/(1-Parametri!$C$28))</f>
        <v>4789.21875</v>
      </c>
      <c r="F7" s="28">
        <f>MIN(F6,Parametri!$C$25*F5/(1-Parametri!$C$28))</f>
        <v>5634.375</v>
      </c>
      <c r="G7" s="28">
        <f>MIN(G6,Parametri!$C$25*G5/(1-Parametri!$C$28))</f>
        <v>5634.375</v>
      </c>
      <c r="H7" s="28">
        <f>MIN(H6,Parametri!$C$25*H5/(1-Parametri!$C$28))</f>
        <v>5634.375</v>
      </c>
      <c r="I7" s="28">
        <f>MIN(I6,Parametri!$C$25*I5/(1-Parametri!$C$28))</f>
        <v>5634.375</v>
      </c>
      <c r="J7" s="28">
        <f>MIN(J6,Parametri!$C$25*J5/(1-Parametri!$C$28))</f>
        <v>5634.375</v>
      </c>
      <c r="K7" s="28">
        <f>MIN(K6,Parametri!$C$25*K5/(1-Parametri!$C$28))</f>
        <v>5634.375</v>
      </c>
      <c r="L7" s="28">
        <f>MIN(L6,Parametri!$C$25*L5/(1-Parametri!$C$28))</f>
        <v>5634.375</v>
      </c>
      <c r="M7" s="28">
        <f>MIN(M6,Parametri!$C$25*M5/(1-Parametri!$C$28))</f>
        <v>5634.375</v>
      </c>
      <c r="N7" s="28">
        <f>MIN(N6,Parametri!$C$25*N5/(1-Parametri!$C$28))</f>
        <v>5634.375</v>
      </c>
      <c r="O7" s="28">
        <f>MIN(O6,Parametri!$C$25*O5/(1-Parametri!$C$28))</f>
        <v>5634.375</v>
      </c>
      <c r="P7" s="28">
        <f>MIN(P6,Parametri!$C$25*P5/(1-Parametri!$C$28))</f>
        <v>5634.375</v>
      </c>
      <c r="Q7" s="28">
        <f>MIN(Q6,Parametri!$C$25*Q5/(1-Parametri!$C$28))</f>
        <v>5634.375</v>
      </c>
    </row>
    <row r="8" ht="15.0" customHeight="1">
      <c r="A8" s="6" t="s">
        <v>762</v>
      </c>
      <c r="B8" s="38"/>
      <c r="C8" s="38">
        <f>C7*(1-Parametri!$C$28)</f>
        <v>2163.6</v>
      </c>
      <c r="D8" s="38">
        <f>D7*(1-Parametri!$C$28)</f>
        <v>3515.85</v>
      </c>
      <c r="E8" s="38">
        <f>E7*(1-Parametri!$C$28)</f>
        <v>4597.65</v>
      </c>
      <c r="F8" s="38">
        <f>F7*(1-Parametri!$C$28)</f>
        <v>5409</v>
      </c>
      <c r="G8" s="38">
        <f>G7*(1-Parametri!$C$28)</f>
        <v>5409</v>
      </c>
      <c r="H8" s="38">
        <f>H7*(1-Parametri!$C$28)</f>
        <v>5409</v>
      </c>
      <c r="I8" s="38">
        <f>I7*(1-Parametri!$C$28)</f>
        <v>5409</v>
      </c>
      <c r="J8" s="38">
        <f>J7*(1-Parametri!$C$28)</f>
        <v>5409</v>
      </c>
      <c r="K8" s="38">
        <f>K7*(1-Parametri!$C$28)</f>
        <v>5409</v>
      </c>
      <c r="L8" s="38">
        <f>L7*(1-Parametri!$C$28)</f>
        <v>5409</v>
      </c>
      <c r="M8" s="38">
        <f>M7*(1-Parametri!$C$28)</f>
        <v>5409</v>
      </c>
      <c r="N8" s="38">
        <f>N7*(1-Parametri!$C$28)</f>
        <v>5409</v>
      </c>
      <c r="O8" s="38">
        <f>O7*(1-Parametri!$C$28)</f>
        <v>5409</v>
      </c>
      <c r="P8" s="38">
        <f>P7*(1-Parametri!$C$28)</f>
        <v>5409</v>
      </c>
      <c r="Q8" s="38">
        <f>Q7*(1-Parametri!$C$28)</f>
        <v>5409</v>
      </c>
    </row>
    <row r="9" ht="15.0" customHeight="1">
      <c r="A9" s="6" t="s">
        <v>763</v>
      </c>
      <c r="B9" s="38"/>
      <c r="C9" s="38">
        <f>C8*Parametri!$C$26</f>
        <v>1728</v>
      </c>
      <c r="D9" s="38">
        <f>D8*Parametri!$C$26</f>
        <v>2808</v>
      </c>
      <c r="E9" s="38">
        <f>E8*Parametri!$C$26</f>
        <v>3672</v>
      </c>
      <c r="F9" s="38">
        <f>F8*Parametri!$C$26</f>
        <v>4320</v>
      </c>
      <c r="G9" s="38">
        <f>G8*Parametri!$C$26</f>
        <v>4320</v>
      </c>
      <c r="H9" s="38">
        <f>H8*Parametri!$C$26</f>
        <v>4320</v>
      </c>
      <c r="I9" s="38">
        <f>I8*Parametri!$C$26</f>
        <v>4320</v>
      </c>
      <c r="J9" s="38">
        <f>J8*Parametri!$C$26</f>
        <v>4320</v>
      </c>
      <c r="K9" s="38">
        <f>K8*Parametri!$C$26</f>
        <v>4320</v>
      </c>
      <c r="L9" s="38">
        <f>L8*Parametri!$C$26</f>
        <v>4320</v>
      </c>
      <c r="M9" s="38">
        <f>M8*Parametri!$C$26</f>
        <v>4320</v>
      </c>
      <c r="N9" s="38">
        <f>N8*Parametri!$C$26</f>
        <v>4320</v>
      </c>
      <c r="O9" s="38">
        <f>O8*Parametri!$C$26</f>
        <v>4320</v>
      </c>
      <c r="P9" s="38">
        <f>P8*Parametri!$C$26</f>
        <v>4320</v>
      </c>
      <c r="Q9" s="38">
        <f>Q8*Parametri!$C$26</f>
        <v>4320</v>
      </c>
    </row>
    <row r="10" ht="15.0" customHeight="1">
      <c r="A10" s="6" t="s">
        <v>764</v>
      </c>
      <c r="B10" s="38"/>
      <c r="C10" s="38">
        <f>C8*Parametri!$C$27</f>
        <v>435.6</v>
      </c>
      <c r="D10" s="38">
        <f>D8*Parametri!$C$27</f>
        <v>707.85</v>
      </c>
      <c r="E10" s="38">
        <f>E8*Parametri!$C$27</f>
        <v>925.65</v>
      </c>
      <c r="F10" s="38">
        <f>F8*Parametri!$C$27</f>
        <v>1089</v>
      </c>
      <c r="G10" s="38">
        <f>G8*Parametri!$C$27</f>
        <v>1089</v>
      </c>
      <c r="H10" s="38">
        <f>H8*Parametri!$C$27</f>
        <v>1089</v>
      </c>
      <c r="I10" s="38">
        <f>I8*Parametri!$C$27</f>
        <v>1089</v>
      </c>
      <c r="J10" s="38">
        <f>J8*Parametri!$C$27</f>
        <v>1089</v>
      </c>
      <c r="K10" s="38">
        <f>K8*Parametri!$C$27</f>
        <v>1089</v>
      </c>
      <c r="L10" s="38">
        <f>L8*Parametri!$C$27</f>
        <v>1089</v>
      </c>
      <c r="M10" s="38">
        <f>M8*Parametri!$C$27</f>
        <v>1089</v>
      </c>
      <c r="N10" s="38">
        <f>N8*Parametri!$C$27</f>
        <v>1089</v>
      </c>
      <c r="O10" s="38">
        <f>O8*Parametri!$C$27</f>
        <v>1089</v>
      </c>
      <c r="P10" s="38">
        <f>P8*Parametri!$C$27</f>
        <v>1089</v>
      </c>
      <c r="Q10" s="38">
        <f>Q8*Parametri!$C$27</f>
        <v>1089</v>
      </c>
    </row>
    <row r="11" ht="15.0" customHeight="1">
      <c r="A11" s="6" t="s">
        <v>765</v>
      </c>
      <c r="B11" s="38"/>
      <c r="C11" s="38">
        <f>C10/Parametri!$C$38</f>
        <v>1320</v>
      </c>
      <c r="D11" s="38">
        <f>D10/Parametri!$C$38</f>
        <v>2145</v>
      </c>
      <c r="E11" s="38">
        <f>E10/Parametri!$C$38</f>
        <v>2805</v>
      </c>
      <c r="F11" s="38">
        <f>F10/Parametri!$C$38</f>
        <v>3300</v>
      </c>
      <c r="G11" s="38">
        <f>G10/Parametri!$C$38</f>
        <v>3300</v>
      </c>
      <c r="H11" s="38">
        <f>H10/Parametri!$C$38</f>
        <v>3300</v>
      </c>
      <c r="I11" s="38">
        <f>I10/Parametri!$C$38</f>
        <v>3300</v>
      </c>
      <c r="J11" s="38">
        <f>J10/Parametri!$C$38</f>
        <v>3300</v>
      </c>
      <c r="K11" s="38">
        <f>K10/Parametri!$C$38</f>
        <v>3300</v>
      </c>
      <c r="L11" s="38">
        <f>L10/Parametri!$C$38</f>
        <v>3300</v>
      </c>
      <c r="M11" s="38">
        <f>M10/Parametri!$C$38</f>
        <v>3300</v>
      </c>
      <c r="N11" s="38">
        <f>N10/Parametri!$C$38</f>
        <v>3300</v>
      </c>
      <c r="O11" s="38">
        <f>O10/Parametri!$C$38</f>
        <v>3300</v>
      </c>
      <c r="P11" s="38">
        <f>P10/Parametri!$C$38</f>
        <v>3300</v>
      </c>
      <c r="Q11" s="38">
        <f>Q10/Parametri!$C$38</f>
        <v>3300</v>
      </c>
    </row>
    <row r="12" ht="15.0" customHeight="1">
      <c r="A12" s="6" t="s">
        <v>766</v>
      </c>
      <c r="B12" s="37"/>
      <c r="C12" s="37">
        <f>C7/Parametri!$C$7</f>
        <v>12.52083333</v>
      </c>
      <c r="D12" s="37">
        <f>D7/Parametri!$C$7</f>
        <v>20.34635417</v>
      </c>
      <c r="E12" s="37">
        <f>E7/Parametri!$C$7</f>
        <v>26.60677083</v>
      </c>
      <c r="F12" s="37">
        <f>F7/Parametri!$C$7</f>
        <v>31.30208333</v>
      </c>
      <c r="G12" s="37">
        <f>G7/Parametri!$C$7</f>
        <v>31.30208333</v>
      </c>
      <c r="H12" s="37">
        <f>H7/Parametri!$C$7</f>
        <v>31.30208333</v>
      </c>
      <c r="I12" s="37">
        <f>I7/Parametri!$C$7</f>
        <v>31.30208333</v>
      </c>
      <c r="J12" s="37">
        <f>J7/Parametri!$C$7</f>
        <v>31.30208333</v>
      </c>
      <c r="K12" s="37">
        <f>K7/Parametri!$C$7</f>
        <v>31.30208333</v>
      </c>
      <c r="L12" s="37">
        <f>L7/Parametri!$C$7</f>
        <v>31.30208333</v>
      </c>
      <c r="M12" s="37">
        <f>M7/Parametri!$C$7</f>
        <v>31.30208333</v>
      </c>
      <c r="N12" s="37">
        <f>N7/Parametri!$C$7</f>
        <v>31.30208333</v>
      </c>
      <c r="O12" s="37">
        <f>O7/Parametri!$C$7</f>
        <v>31.30208333</v>
      </c>
      <c r="P12" s="37">
        <f>P7/Parametri!$C$7</f>
        <v>31.30208333</v>
      </c>
      <c r="Q12" s="37">
        <f>Q7/Parametri!$C$7</f>
        <v>31.30208333</v>
      </c>
    </row>
    <row r="13" ht="15.0" customHeight="1">
      <c r="A13" s="6" t="s">
        <v>767</v>
      </c>
      <c r="B13" s="40"/>
      <c r="C13" s="40">
        <f t="shared" ref="C13:Q13" si="1">IF(C6=0,0,C7/C6)</f>
        <v>0.272192029</v>
      </c>
      <c r="D13" s="40">
        <f t="shared" si="1"/>
        <v>0.4423120471</v>
      </c>
      <c r="E13" s="40">
        <f t="shared" si="1"/>
        <v>0.5784080616</v>
      </c>
      <c r="F13" s="40">
        <f t="shared" si="1"/>
        <v>0.6804800725</v>
      </c>
      <c r="G13" s="40">
        <f t="shared" si="1"/>
        <v>0.6804800725</v>
      </c>
      <c r="H13" s="40">
        <f t="shared" si="1"/>
        <v>0.6804800725</v>
      </c>
      <c r="I13" s="40">
        <f t="shared" si="1"/>
        <v>0.6804800725</v>
      </c>
      <c r="J13" s="40">
        <f t="shared" si="1"/>
        <v>0.6804800725</v>
      </c>
      <c r="K13" s="40">
        <f t="shared" si="1"/>
        <v>0.6804800725</v>
      </c>
      <c r="L13" s="40">
        <f t="shared" si="1"/>
        <v>0.6804800725</v>
      </c>
      <c r="M13" s="40">
        <f t="shared" si="1"/>
        <v>0.6804800725</v>
      </c>
      <c r="N13" s="40">
        <f t="shared" si="1"/>
        <v>0.6804800725</v>
      </c>
      <c r="O13" s="40">
        <f t="shared" si="1"/>
        <v>0.6804800725</v>
      </c>
      <c r="P13" s="40">
        <f t="shared" si="1"/>
        <v>0.6804800725</v>
      </c>
      <c r="Q13" s="40">
        <f t="shared" si="1"/>
        <v>0.6804800725</v>
      </c>
    </row>
    <row r="14" ht="15.0" customHeight="1">
      <c r="A14" s="33" t="s">
        <v>768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</row>
    <row r="15" ht="15.0" customHeight="1">
      <c r="A15" s="6" t="s">
        <v>769</v>
      </c>
      <c r="B15" s="53"/>
      <c r="C15" s="53">
        <f>C9*Parametri!$C$36</f>
        <v>6912</v>
      </c>
      <c r="D15" s="53">
        <f>D9*Parametri!$C$36</f>
        <v>11232</v>
      </c>
      <c r="E15" s="53">
        <f>E9*Parametri!$C$36</f>
        <v>14688</v>
      </c>
      <c r="F15" s="53">
        <f>F9*Parametri!$C$36</f>
        <v>17280</v>
      </c>
      <c r="G15" s="53">
        <f>G9*Parametri!$C$36</f>
        <v>17280</v>
      </c>
      <c r="H15" s="53">
        <f>H9*Parametri!$C$36</f>
        <v>17280</v>
      </c>
      <c r="I15" s="53">
        <f>I9*Parametri!$C$36</f>
        <v>17280</v>
      </c>
      <c r="J15" s="53">
        <f>J9*Parametri!$C$36</f>
        <v>17280</v>
      </c>
      <c r="K15" s="53">
        <f>K9*Parametri!$C$36</f>
        <v>17280</v>
      </c>
      <c r="L15" s="53">
        <f>L9*Parametri!$C$36</f>
        <v>17280</v>
      </c>
      <c r="M15" s="53">
        <f>M9*Parametri!$C$36</f>
        <v>17280</v>
      </c>
      <c r="N15" s="53">
        <f>N9*Parametri!$C$36</f>
        <v>17280</v>
      </c>
      <c r="O15" s="53">
        <f>O9*Parametri!$C$36</f>
        <v>17280</v>
      </c>
      <c r="P15" s="53">
        <f>P9*Parametri!$C$36</f>
        <v>17280</v>
      </c>
      <c r="Q15" s="53">
        <f>Q9*Parametri!$C$36</f>
        <v>17280</v>
      </c>
    </row>
    <row r="16" ht="15.0" customHeight="1">
      <c r="A16" s="6" t="s">
        <v>770</v>
      </c>
      <c r="B16" s="53"/>
      <c r="C16" s="53">
        <f>C11*Parametri!$C$37</f>
        <v>2640</v>
      </c>
      <c r="D16" s="53">
        <f>D11*Parametri!$C$37</f>
        <v>4290</v>
      </c>
      <c r="E16" s="53">
        <f>E11*Parametri!$C$37</f>
        <v>5610</v>
      </c>
      <c r="F16" s="53">
        <f>F11*Parametri!$C$37</f>
        <v>6600</v>
      </c>
      <c r="G16" s="53">
        <f>G11*Parametri!$C$37</f>
        <v>6600</v>
      </c>
      <c r="H16" s="53">
        <f>H11*Parametri!$C$37</f>
        <v>6600</v>
      </c>
      <c r="I16" s="53">
        <f>I11*Parametri!$C$37</f>
        <v>6600</v>
      </c>
      <c r="J16" s="53">
        <f>J11*Parametri!$C$37</f>
        <v>6600</v>
      </c>
      <c r="K16" s="53">
        <f>K11*Parametri!$C$37</f>
        <v>6600</v>
      </c>
      <c r="L16" s="53">
        <f>L11*Parametri!$C$37</f>
        <v>6600</v>
      </c>
      <c r="M16" s="53">
        <f>M11*Parametri!$C$37</f>
        <v>6600</v>
      </c>
      <c r="N16" s="53">
        <f>N11*Parametri!$C$37</f>
        <v>6600</v>
      </c>
      <c r="O16" s="53">
        <f>O11*Parametri!$C$37</f>
        <v>6600</v>
      </c>
      <c r="P16" s="53">
        <f>P11*Parametri!$C$37</f>
        <v>6600</v>
      </c>
      <c r="Q16" s="53">
        <f>Q11*Parametri!$C$37</f>
        <v>6600</v>
      </c>
    </row>
    <row r="17" ht="15.0" customHeight="1">
      <c r="A17" s="15" t="s">
        <v>771</v>
      </c>
      <c r="B17" s="62"/>
      <c r="C17" s="62">
        <f t="shared" ref="C17:Q17" si="2">C15+C16</f>
        <v>9552</v>
      </c>
      <c r="D17" s="62">
        <f t="shared" si="2"/>
        <v>15522</v>
      </c>
      <c r="E17" s="62">
        <f t="shared" si="2"/>
        <v>20298</v>
      </c>
      <c r="F17" s="62">
        <f t="shared" si="2"/>
        <v>23880</v>
      </c>
      <c r="G17" s="62">
        <f t="shared" si="2"/>
        <v>23880</v>
      </c>
      <c r="H17" s="62">
        <f t="shared" si="2"/>
        <v>23880</v>
      </c>
      <c r="I17" s="62">
        <f t="shared" si="2"/>
        <v>23880</v>
      </c>
      <c r="J17" s="62">
        <f t="shared" si="2"/>
        <v>23880</v>
      </c>
      <c r="K17" s="62">
        <f t="shared" si="2"/>
        <v>23880</v>
      </c>
      <c r="L17" s="62">
        <f t="shared" si="2"/>
        <v>23880</v>
      </c>
      <c r="M17" s="62">
        <f t="shared" si="2"/>
        <v>23880</v>
      </c>
      <c r="N17" s="62">
        <f t="shared" si="2"/>
        <v>23880</v>
      </c>
      <c r="O17" s="62">
        <f t="shared" si="2"/>
        <v>23880</v>
      </c>
      <c r="P17" s="62">
        <f t="shared" si="2"/>
        <v>23880</v>
      </c>
      <c r="Q17" s="62">
        <f t="shared" si="2"/>
        <v>23880</v>
      </c>
    </row>
    <row r="18" ht="15.0" customHeight="1">
      <c r="A18" s="33" t="s">
        <v>772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</row>
    <row r="19" ht="15.0" customHeight="1">
      <c r="A19" s="6" t="s">
        <v>84</v>
      </c>
      <c r="B19" s="53"/>
      <c r="C19" s="53">
        <f>C7/100*Parametri!$C$45</f>
        <v>1135.89</v>
      </c>
      <c r="D19" s="53">
        <f>D7/100*Parametri!$C$45</f>
        <v>1845.82125</v>
      </c>
      <c r="E19" s="53">
        <f>E7/100*Parametri!$C$45</f>
        <v>2413.76625</v>
      </c>
      <c r="F19" s="53">
        <f>F7/100*Parametri!$C$45</f>
        <v>2839.725</v>
      </c>
      <c r="G19" s="53">
        <f>G7/100*Parametri!$C$45</f>
        <v>2839.725</v>
      </c>
      <c r="H19" s="53">
        <f>H7/100*Parametri!$C$45</f>
        <v>2839.725</v>
      </c>
      <c r="I19" s="53">
        <f>I7/100*Parametri!$C$45</f>
        <v>2839.725</v>
      </c>
      <c r="J19" s="53">
        <f>J7/100*Parametri!$C$45</f>
        <v>2839.725</v>
      </c>
      <c r="K19" s="53">
        <f>K7/100*Parametri!$C$45</f>
        <v>2839.725</v>
      </c>
      <c r="L19" s="53">
        <f>L7/100*Parametri!$C$45</f>
        <v>2839.725</v>
      </c>
      <c r="M19" s="53">
        <f>M7/100*Parametri!$C$45</f>
        <v>2839.725</v>
      </c>
      <c r="N19" s="53">
        <f>N7/100*Parametri!$C$45</f>
        <v>2839.725</v>
      </c>
      <c r="O19" s="53">
        <f>O7/100*Parametri!$C$45</f>
        <v>2839.725</v>
      </c>
      <c r="P19" s="53">
        <f>P7/100*Parametri!$C$45</f>
        <v>2839.725</v>
      </c>
      <c r="Q19" s="53">
        <f>Q7/100*Parametri!$C$45</f>
        <v>2839.725</v>
      </c>
    </row>
    <row r="20" ht="15.0" customHeight="1">
      <c r="A20" s="6" t="s">
        <v>391</v>
      </c>
      <c r="B20" s="53"/>
      <c r="C20" s="53">
        <f>C7/100*Parametri!$C$46</f>
        <v>90.15</v>
      </c>
      <c r="D20" s="53">
        <f>D7/100*Parametri!$C$46</f>
        <v>146.49375</v>
      </c>
      <c r="E20" s="53">
        <f>E7/100*Parametri!$C$46</f>
        <v>191.56875</v>
      </c>
      <c r="F20" s="53">
        <f>F7/100*Parametri!$C$46</f>
        <v>225.375</v>
      </c>
      <c r="G20" s="53">
        <f>G7/100*Parametri!$C$46</f>
        <v>225.375</v>
      </c>
      <c r="H20" s="53">
        <f>H7/100*Parametri!$C$46</f>
        <v>225.375</v>
      </c>
      <c r="I20" s="53">
        <f>I7/100*Parametri!$C$46</f>
        <v>225.375</v>
      </c>
      <c r="J20" s="53">
        <f>J7/100*Parametri!$C$46</f>
        <v>225.375</v>
      </c>
      <c r="K20" s="53">
        <f>K7/100*Parametri!$C$46</f>
        <v>225.375</v>
      </c>
      <c r="L20" s="53">
        <f>L7/100*Parametri!$C$46</f>
        <v>225.375</v>
      </c>
      <c r="M20" s="53">
        <f>M7/100*Parametri!$C$46</f>
        <v>225.375</v>
      </c>
      <c r="N20" s="53">
        <f>N7/100*Parametri!$C$46</f>
        <v>225.375</v>
      </c>
      <c r="O20" s="53">
        <f>O7/100*Parametri!$C$46</f>
        <v>225.375</v>
      </c>
      <c r="P20" s="53">
        <f>P7/100*Parametri!$C$46</f>
        <v>225.375</v>
      </c>
      <c r="Q20" s="53">
        <f>Q7/100*Parametri!$C$46</f>
        <v>225.375</v>
      </c>
    </row>
    <row r="21" ht="15.75" customHeight="1">
      <c r="A21" s="6" t="s">
        <v>773</v>
      </c>
      <c r="B21" s="53"/>
      <c r="C21" s="53">
        <f>C7/100*Parametri!$C$48*Parametri!$C$49</f>
        <v>281.71875</v>
      </c>
      <c r="D21" s="53">
        <f>D7/100*Parametri!$C$48*Parametri!$C$49</f>
        <v>457.7929688</v>
      </c>
      <c r="E21" s="53">
        <f>E7/100*Parametri!$C$48*Parametri!$C$49</f>
        <v>598.6523438</v>
      </c>
      <c r="F21" s="53">
        <f>F7/100*Parametri!$C$48*Parametri!$C$49</f>
        <v>704.296875</v>
      </c>
      <c r="G21" s="53">
        <f>G7/100*Parametri!$C$48*Parametri!$C$49</f>
        <v>704.296875</v>
      </c>
      <c r="H21" s="53">
        <f>H7/100*Parametri!$C$48*Parametri!$C$49</f>
        <v>704.296875</v>
      </c>
      <c r="I21" s="53">
        <f>I7/100*Parametri!$C$48*Parametri!$C$49</f>
        <v>704.296875</v>
      </c>
      <c r="J21" s="53">
        <f>J7/100*Parametri!$C$48*Parametri!$C$49</f>
        <v>704.296875</v>
      </c>
      <c r="K21" s="53">
        <f>K7/100*Parametri!$C$48*Parametri!$C$49</f>
        <v>704.296875</v>
      </c>
      <c r="L21" s="53">
        <f>L7/100*Parametri!$C$48*Parametri!$C$49</f>
        <v>704.296875</v>
      </c>
      <c r="M21" s="53">
        <f>M7/100*Parametri!$C$48*Parametri!$C$49</f>
        <v>704.296875</v>
      </c>
      <c r="N21" s="53">
        <f>N7/100*Parametri!$C$48*Parametri!$C$49</f>
        <v>704.296875</v>
      </c>
      <c r="O21" s="53">
        <f>O7/100*Parametri!$C$48*Parametri!$C$49</f>
        <v>704.296875</v>
      </c>
      <c r="P21" s="53">
        <f>P7/100*Parametri!$C$48*Parametri!$C$49</f>
        <v>704.296875</v>
      </c>
      <c r="Q21" s="53">
        <f>Q7/100*Parametri!$C$48*Parametri!$C$49</f>
        <v>704.296875</v>
      </c>
    </row>
    <row r="22" ht="15.75" customHeight="1">
      <c r="A22" s="6" t="s">
        <v>774</v>
      </c>
      <c r="B22" s="53"/>
      <c r="C22" s="53">
        <f>C7/100*Parametri!$C$50*Parametri!$C$51</f>
        <v>40.5675</v>
      </c>
      <c r="D22" s="53">
        <f>D7/100*Parametri!$C$50*Parametri!$C$51</f>
        <v>65.9221875</v>
      </c>
      <c r="E22" s="53">
        <f>E7/100*Parametri!$C$50*Parametri!$C$51</f>
        <v>86.2059375</v>
      </c>
      <c r="F22" s="53">
        <f>F7/100*Parametri!$C$50*Parametri!$C$51</f>
        <v>101.41875</v>
      </c>
      <c r="G22" s="53">
        <f>G7/100*Parametri!$C$50*Parametri!$C$51</f>
        <v>101.41875</v>
      </c>
      <c r="H22" s="53">
        <f>H7/100*Parametri!$C$50*Parametri!$C$51</f>
        <v>101.41875</v>
      </c>
      <c r="I22" s="53">
        <f>I7/100*Parametri!$C$50*Parametri!$C$51</f>
        <v>101.41875</v>
      </c>
      <c r="J22" s="53">
        <f>J7/100*Parametri!$C$50*Parametri!$C$51</f>
        <v>101.41875</v>
      </c>
      <c r="K22" s="53">
        <f>K7/100*Parametri!$C$50*Parametri!$C$51</f>
        <v>101.41875</v>
      </c>
      <c r="L22" s="53">
        <f>L7/100*Parametri!$C$50*Parametri!$C$51</f>
        <v>101.41875</v>
      </c>
      <c r="M22" s="53">
        <f>M7/100*Parametri!$C$50*Parametri!$C$51</f>
        <v>101.41875</v>
      </c>
      <c r="N22" s="53">
        <f>N7/100*Parametri!$C$50*Parametri!$C$51</f>
        <v>101.41875</v>
      </c>
      <c r="O22" s="53">
        <f>O7/100*Parametri!$C$50*Parametri!$C$51</f>
        <v>101.41875</v>
      </c>
      <c r="P22" s="53">
        <f>P7/100*Parametri!$C$50*Parametri!$C$51</f>
        <v>101.41875</v>
      </c>
      <c r="Q22" s="53">
        <f>Q7/100*Parametri!$C$50*Parametri!$C$51</f>
        <v>101.41875</v>
      </c>
    </row>
    <row r="23" ht="15.75" customHeight="1">
      <c r="A23" s="6" t="s">
        <v>775</v>
      </c>
      <c r="B23" s="53"/>
      <c r="C23" s="53">
        <f>C11*(Parametri!$C$52+Parametri!$C$53+Parametri!$C$54+Parametri!$C$55+Parametri!$C$56)</f>
        <v>442.2</v>
      </c>
      <c r="D23" s="53">
        <f>D11*(Parametri!$C$52+Parametri!$C$53+Parametri!$C$54+Parametri!$C$55+Parametri!$C$56)</f>
        <v>718.575</v>
      </c>
      <c r="E23" s="53">
        <f>E11*(Parametri!$C$52+Parametri!$C$53+Parametri!$C$54+Parametri!$C$55+Parametri!$C$56)</f>
        <v>939.675</v>
      </c>
      <c r="F23" s="53">
        <f>F11*(Parametri!$C$52+Parametri!$C$53+Parametri!$C$54+Parametri!$C$55+Parametri!$C$56)</f>
        <v>1105.5</v>
      </c>
      <c r="G23" s="53">
        <f>G11*(Parametri!$C$52+Parametri!$C$53+Parametri!$C$54+Parametri!$C$55+Parametri!$C$56)</f>
        <v>1105.5</v>
      </c>
      <c r="H23" s="53">
        <f>H11*(Parametri!$C$52+Parametri!$C$53+Parametri!$C$54+Parametri!$C$55+Parametri!$C$56)</f>
        <v>1105.5</v>
      </c>
      <c r="I23" s="53">
        <f>I11*(Parametri!$C$52+Parametri!$C$53+Parametri!$C$54+Parametri!$C$55+Parametri!$C$56)</f>
        <v>1105.5</v>
      </c>
      <c r="J23" s="53">
        <f>J11*(Parametri!$C$52+Parametri!$C$53+Parametri!$C$54+Parametri!$C$55+Parametri!$C$56)</f>
        <v>1105.5</v>
      </c>
      <c r="K23" s="53">
        <f>K11*(Parametri!$C$52+Parametri!$C$53+Parametri!$C$54+Parametri!$C$55+Parametri!$C$56)</f>
        <v>1105.5</v>
      </c>
      <c r="L23" s="53">
        <f>L11*(Parametri!$C$52+Parametri!$C$53+Parametri!$C$54+Parametri!$C$55+Parametri!$C$56)</f>
        <v>1105.5</v>
      </c>
      <c r="M23" s="53">
        <f>M11*(Parametri!$C$52+Parametri!$C$53+Parametri!$C$54+Parametri!$C$55+Parametri!$C$56)</f>
        <v>1105.5</v>
      </c>
      <c r="N23" s="53">
        <f>N11*(Parametri!$C$52+Parametri!$C$53+Parametri!$C$54+Parametri!$C$55+Parametri!$C$56)</f>
        <v>1105.5</v>
      </c>
      <c r="O23" s="53">
        <f>O11*(Parametri!$C$52+Parametri!$C$53+Parametri!$C$54+Parametri!$C$55+Parametri!$C$56)</f>
        <v>1105.5</v>
      </c>
      <c r="P23" s="53">
        <f>P11*(Parametri!$C$52+Parametri!$C$53+Parametri!$C$54+Parametri!$C$55+Parametri!$C$56)</f>
        <v>1105.5</v>
      </c>
      <c r="Q23" s="53">
        <f>Q11*(Parametri!$C$52+Parametri!$C$53+Parametri!$C$54+Parametri!$C$55+Parametri!$C$56)</f>
        <v>1105.5</v>
      </c>
    </row>
    <row r="24" ht="15.75" customHeight="1">
      <c r="A24" s="6" t="s">
        <v>436</v>
      </c>
      <c r="B24" s="53"/>
      <c r="C24" s="53">
        <f>C9/100*Parametri!$C$57</f>
        <v>51.84</v>
      </c>
      <c r="D24" s="53">
        <f>D9/100*Parametri!$C$57</f>
        <v>84.24</v>
      </c>
      <c r="E24" s="53">
        <f>E9/100*Parametri!$C$57</f>
        <v>110.16</v>
      </c>
      <c r="F24" s="53">
        <f>F9/100*Parametri!$C$57</f>
        <v>129.6</v>
      </c>
      <c r="G24" s="53">
        <f>G9/100*Parametri!$C$57</f>
        <v>129.6</v>
      </c>
      <c r="H24" s="53">
        <f>H9/100*Parametri!$C$57</f>
        <v>129.6</v>
      </c>
      <c r="I24" s="53">
        <f>I9/100*Parametri!$C$57</f>
        <v>129.6</v>
      </c>
      <c r="J24" s="53">
        <f>J9/100*Parametri!$C$57</f>
        <v>129.6</v>
      </c>
      <c r="K24" s="53">
        <f>K9/100*Parametri!$C$57</f>
        <v>129.6</v>
      </c>
      <c r="L24" s="53">
        <f>L9/100*Parametri!$C$57</f>
        <v>129.6</v>
      </c>
      <c r="M24" s="53">
        <f>M9/100*Parametri!$C$57</f>
        <v>129.6</v>
      </c>
      <c r="N24" s="53">
        <f>N9/100*Parametri!$C$57</f>
        <v>129.6</v>
      </c>
      <c r="O24" s="53">
        <f>O9/100*Parametri!$C$57</f>
        <v>129.6</v>
      </c>
      <c r="P24" s="53">
        <f>P9/100*Parametri!$C$57</f>
        <v>129.6</v>
      </c>
      <c r="Q24" s="53">
        <f>Q9/100*Parametri!$C$57</f>
        <v>129.6</v>
      </c>
    </row>
    <row r="25" ht="15.75" customHeight="1">
      <c r="A25" s="6" t="s">
        <v>776</v>
      </c>
      <c r="B25" s="53"/>
      <c r="C25" s="53">
        <f>C8/100*Parametri!$C$47*Parametri!$C$62*(1-Parametri!$C$63)</f>
        <v>529.9868016</v>
      </c>
      <c r="D25" s="53">
        <f>D8/100*Parametri!$C$47*Parametri!$C$62*(1-Parametri!$C$63)</f>
        <v>861.2285526</v>
      </c>
      <c r="E25" s="53">
        <f>E8/100*Parametri!$C$47*Parametri!$C$62*(1-Parametri!$C$63)</f>
        <v>1126.221953</v>
      </c>
      <c r="F25" s="53">
        <f>F8/100*Parametri!$C$47*Parametri!$C$62*(1-Parametri!$C$63)</f>
        <v>1324.967004</v>
      </c>
      <c r="G25" s="53">
        <f>G8/100*Parametri!$C$47*Parametri!$C$62*(1-Parametri!$C$63)</f>
        <v>1324.967004</v>
      </c>
      <c r="H25" s="53">
        <f>H8/100*Parametri!$C$47*Parametri!$C$62*(1-Parametri!$C$63)</f>
        <v>1324.967004</v>
      </c>
      <c r="I25" s="53">
        <f>I8/100*Parametri!$C$47*Parametri!$C$62*(1-Parametri!$C$63)</f>
        <v>1324.967004</v>
      </c>
      <c r="J25" s="53">
        <f>J8/100*Parametri!$C$47*Parametri!$C$62*(1-Parametri!$C$63)</f>
        <v>1324.967004</v>
      </c>
      <c r="K25" s="53">
        <f>K8/100*Parametri!$C$47*Parametri!$C$62*(1-Parametri!$C$63)</f>
        <v>1324.967004</v>
      </c>
      <c r="L25" s="53">
        <f>L8/100*Parametri!$C$47*Parametri!$C$62*(1-Parametri!$C$63)</f>
        <v>1324.967004</v>
      </c>
      <c r="M25" s="53">
        <f>M8/100*Parametri!$C$47*Parametri!$C$62*(1-Parametri!$C$63)</f>
        <v>1324.967004</v>
      </c>
      <c r="N25" s="53">
        <f>N8/100*Parametri!$C$47*Parametri!$C$62*(1-Parametri!$C$63)</f>
        <v>1324.967004</v>
      </c>
      <c r="O25" s="53">
        <f>O8/100*Parametri!$C$47*Parametri!$C$62*(1-Parametri!$C$63)</f>
        <v>1324.967004</v>
      </c>
      <c r="P25" s="53">
        <f>P8/100*Parametri!$C$47*Parametri!$C$62*(1-Parametri!$C$63)</f>
        <v>1324.967004</v>
      </c>
      <c r="Q25" s="53">
        <f>Q8/100*Parametri!$C$47*Parametri!$C$62*(1-Parametri!$C$63)</f>
        <v>1324.967004</v>
      </c>
    </row>
    <row r="26" ht="15.75" customHeight="1">
      <c r="A26" s="6" t="s">
        <v>441</v>
      </c>
      <c r="B26" s="53"/>
      <c r="C26" s="53">
        <f>C17*Parametri!$C$58</f>
        <v>238.8</v>
      </c>
      <c r="D26" s="53">
        <f>D17*Parametri!$C$58</f>
        <v>388.05</v>
      </c>
      <c r="E26" s="53">
        <f>E17*Parametri!$C$58</f>
        <v>507.45</v>
      </c>
      <c r="F26" s="53">
        <f>F17*Parametri!$C$58</f>
        <v>597</v>
      </c>
      <c r="G26" s="53">
        <f>G17*Parametri!$C$58</f>
        <v>597</v>
      </c>
      <c r="H26" s="53">
        <f>H17*Parametri!$C$58</f>
        <v>597</v>
      </c>
      <c r="I26" s="53">
        <f>I17*Parametri!$C$58</f>
        <v>597</v>
      </c>
      <c r="J26" s="53">
        <f>J17*Parametri!$C$58</f>
        <v>597</v>
      </c>
      <c r="K26" s="53">
        <f>K17*Parametri!$C$58</f>
        <v>597</v>
      </c>
      <c r="L26" s="53">
        <f>L17*Parametri!$C$58</f>
        <v>597</v>
      </c>
      <c r="M26" s="53">
        <f>M17*Parametri!$C$58</f>
        <v>597</v>
      </c>
      <c r="N26" s="53">
        <f>N17*Parametri!$C$58</f>
        <v>597</v>
      </c>
      <c r="O26" s="53">
        <f>O17*Parametri!$C$58</f>
        <v>597</v>
      </c>
      <c r="P26" s="53">
        <f>P17*Parametri!$C$58</f>
        <v>597</v>
      </c>
      <c r="Q26" s="53">
        <f>Q17*Parametri!$C$58</f>
        <v>597</v>
      </c>
    </row>
    <row r="27" ht="15.75" customHeight="1">
      <c r="A27" s="15" t="s">
        <v>786</v>
      </c>
      <c r="B27" s="62"/>
      <c r="C27" s="62">
        <f t="shared" ref="C27:Q27" si="3">SUM(C19:C26)</f>
        <v>2811.153052</v>
      </c>
      <c r="D27" s="62">
        <f t="shared" si="3"/>
        <v>4568.123709</v>
      </c>
      <c r="E27" s="62">
        <f t="shared" si="3"/>
        <v>5973.700235</v>
      </c>
      <c r="F27" s="62">
        <f t="shared" si="3"/>
        <v>7027.882629</v>
      </c>
      <c r="G27" s="62">
        <f t="shared" si="3"/>
        <v>7027.882629</v>
      </c>
      <c r="H27" s="62">
        <f t="shared" si="3"/>
        <v>7027.882629</v>
      </c>
      <c r="I27" s="62">
        <f t="shared" si="3"/>
        <v>7027.882629</v>
      </c>
      <c r="J27" s="62">
        <f t="shared" si="3"/>
        <v>7027.882629</v>
      </c>
      <c r="K27" s="62">
        <f t="shared" si="3"/>
        <v>7027.882629</v>
      </c>
      <c r="L27" s="62">
        <f t="shared" si="3"/>
        <v>7027.882629</v>
      </c>
      <c r="M27" s="62">
        <f t="shared" si="3"/>
        <v>7027.882629</v>
      </c>
      <c r="N27" s="62">
        <f t="shared" si="3"/>
        <v>7027.882629</v>
      </c>
      <c r="O27" s="62">
        <f t="shared" si="3"/>
        <v>7027.882629</v>
      </c>
      <c r="P27" s="62">
        <f t="shared" si="3"/>
        <v>7027.882629</v>
      </c>
      <c r="Q27" s="62">
        <f t="shared" si="3"/>
        <v>7027.882629</v>
      </c>
    </row>
    <row r="28" ht="15.75" customHeight="1">
      <c r="A28" s="5" t="s">
        <v>792</v>
      </c>
      <c r="B28" s="68"/>
      <c r="C28" s="68">
        <f t="shared" ref="C28:Q28" si="4">C17-C27</f>
        <v>6740.846948</v>
      </c>
      <c r="D28" s="68">
        <f t="shared" si="4"/>
        <v>10953.87629</v>
      </c>
      <c r="E28" s="68">
        <f t="shared" si="4"/>
        <v>14324.29977</v>
      </c>
      <c r="F28" s="68">
        <f t="shared" si="4"/>
        <v>16852.11737</v>
      </c>
      <c r="G28" s="68">
        <f t="shared" si="4"/>
        <v>16852.11737</v>
      </c>
      <c r="H28" s="68">
        <f t="shared" si="4"/>
        <v>16852.11737</v>
      </c>
      <c r="I28" s="68">
        <f t="shared" si="4"/>
        <v>16852.11737</v>
      </c>
      <c r="J28" s="68">
        <f t="shared" si="4"/>
        <v>16852.11737</v>
      </c>
      <c r="K28" s="68">
        <f t="shared" si="4"/>
        <v>16852.11737</v>
      </c>
      <c r="L28" s="68">
        <f t="shared" si="4"/>
        <v>16852.11737</v>
      </c>
      <c r="M28" s="68">
        <f t="shared" si="4"/>
        <v>16852.11737</v>
      </c>
      <c r="N28" s="68">
        <f t="shared" si="4"/>
        <v>16852.11737</v>
      </c>
      <c r="O28" s="68">
        <f t="shared" si="4"/>
        <v>16852.11737</v>
      </c>
      <c r="P28" s="68">
        <f t="shared" si="4"/>
        <v>16852.11737</v>
      </c>
      <c r="Q28" s="68">
        <f t="shared" si="4"/>
        <v>16852.11737</v>
      </c>
    </row>
    <row r="29" ht="15.75" customHeight="1">
      <c r="A29" s="6" t="s">
        <v>798</v>
      </c>
      <c r="B29" s="40"/>
      <c r="C29" s="40">
        <f t="shared" ref="C29:Q29" si="5">IF(C17=0,0,C28/C17)</f>
        <v>0.7057000574</v>
      </c>
      <c r="D29" s="40">
        <f t="shared" si="5"/>
        <v>0.7057000574</v>
      </c>
      <c r="E29" s="40">
        <f t="shared" si="5"/>
        <v>0.7057000574</v>
      </c>
      <c r="F29" s="40">
        <f t="shared" si="5"/>
        <v>0.7057000574</v>
      </c>
      <c r="G29" s="40">
        <f t="shared" si="5"/>
        <v>0.7057000574</v>
      </c>
      <c r="H29" s="40">
        <f t="shared" si="5"/>
        <v>0.7057000574</v>
      </c>
      <c r="I29" s="40">
        <f t="shared" si="5"/>
        <v>0.7057000574</v>
      </c>
      <c r="J29" s="40">
        <f t="shared" si="5"/>
        <v>0.7057000574</v>
      </c>
      <c r="K29" s="40">
        <f t="shared" si="5"/>
        <v>0.7057000574</v>
      </c>
      <c r="L29" s="40">
        <f t="shared" si="5"/>
        <v>0.7057000574</v>
      </c>
      <c r="M29" s="40">
        <f t="shared" si="5"/>
        <v>0.7057000574</v>
      </c>
      <c r="N29" s="40">
        <f t="shared" si="5"/>
        <v>0.7057000574</v>
      </c>
      <c r="O29" s="40">
        <f t="shared" si="5"/>
        <v>0.7057000574</v>
      </c>
      <c r="P29" s="40">
        <f t="shared" si="5"/>
        <v>0.7057000574</v>
      </c>
      <c r="Q29" s="40">
        <f t="shared" si="5"/>
        <v>0.7057000574</v>
      </c>
    </row>
    <row r="30" ht="15.75" customHeight="1">
      <c r="A30" s="33" t="s">
        <v>803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</row>
    <row r="31" ht="15.75" customHeight="1">
      <c r="A31" s="6" t="s">
        <v>485</v>
      </c>
      <c r="B31" s="24"/>
      <c r="C31" s="24">
        <f>Parametri!$C$73*12</f>
        <v>0</v>
      </c>
      <c r="D31" s="24">
        <f>Parametri!$C$73*12</f>
        <v>0</v>
      </c>
      <c r="E31" s="24">
        <f>Parametri!$C$73*12</f>
        <v>0</v>
      </c>
      <c r="F31" s="24">
        <f>Parametri!$C$73*12</f>
        <v>0</v>
      </c>
      <c r="G31" s="24">
        <f>Parametri!$C$73*12</f>
        <v>0</v>
      </c>
      <c r="H31" s="24">
        <f>Parametri!$C$73*12</f>
        <v>0</v>
      </c>
      <c r="I31" s="24">
        <f>Parametri!$C$73*12</f>
        <v>0</v>
      </c>
      <c r="J31" s="24">
        <f>Parametri!$C$73*12</f>
        <v>0</v>
      </c>
      <c r="K31" s="24">
        <f>Parametri!$C$73*12</f>
        <v>0</v>
      </c>
      <c r="L31" s="24">
        <f>Parametri!$C$73*12</f>
        <v>0</v>
      </c>
      <c r="M31" s="24">
        <f>Parametri!$C$73*12</f>
        <v>0</v>
      </c>
      <c r="N31" s="24">
        <f>Parametri!$C$73*12</f>
        <v>0</v>
      </c>
      <c r="O31" s="24">
        <f>Parametri!$C$73*12</f>
        <v>0</v>
      </c>
      <c r="P31" s="24">
        <f>Parametri!$C$73*12</f>
        <v>0</v>
      </c>
      <c r="Q31" s="24">
        <f>Parametri!$C$73*12</f>
        <v>0</v>
      </c>
    </row>
    <row r="32" ht="15.75" customHeight="1">
      <c r="A32" s="6" t="s">
        <v>810</v>
      </c>
      <c r="B32" s="24"/>
      <c r="C32" s="24">
        <f>Parametri!$C$74*12</f>
        <v>1440</v>
      </c>
      <c r="D32" s="24">
        <f>Parametri!$C$74*12</f>
        <v>1440</v>
      </c>
      <c r="E32" s="24">
        <f>Parametri!$C$74*12</f>
        <v>1440</v>
      </c>
      <c r="F32" s="24">
        <f>Parametri!$C$74*12</f>
        <v>1440</v>
      </c>
      <c r="G32" s="24">
        <f>Parametri!$C$74*12</f>
        <v>1440</v>
      </c>
      <c r="H32" s="24">
        <f>Parametri!$C$74*12</f>
        <v>1440</v>
      </c>
      <c r="I32" s="24">
        <f>Parametri!$C$74*12</f>
        <v>1440</v>
      </c>
      <c r="J32" s="24">
        <f>Parametri!$C$74*12</f>
        <v>1440</v>
      </c>
      <c r="K32" s="24">
        <f>Parametri!$C$74*12</f>
        <v>1440</v>
      </c>
      <c r="L32" s="24">
        <f>Parametri!$C$74*12</f>
        <v>1440</v>
      </c>
      <c r="M32" s="24">
        <f>Parametri!$C$74*12</f>
        <v>1440</v>
      </c>
      <c r="N32" s="24">
        <f>Parametri!$C$74*12</f>
        <v>1440</v>
      </c>
      <c r="O32" s="24">
        <f>Parametri!$C$74*12</f>
        <v>1440</v>
      </c>
      <c r="P32" s="24">
        <f>Parametri!$C$74*12</f>
        <v>1440</v>
      </c>
      <c r="Q32" s="24">
        <f>Parametri!$C$74*12</f>
        <v>1440</v>
      </c>
    </row>
    <row r="33" ht="15.75" customHeight="1">
      <c r="A33" s="6" t="s">
        <v>811</v>
      </c>
      <c r="B33" s="24"/>
      <c r="C33" s="24">
        <f>Parametri!$C$75</f>
        <v>1500</v>
      </c>
      <c r="D33" s="24">
        <f>Parametri!$C$75</f>
        <v>1500</v>
      </c>
      <c r="E33" s="24">
        <f>Parametri!$C$75</f>
        <v>1500</v>
      </c>
      <c r="F33" s="24">
        <f>Parametri!$C$75</f>
        <v>1500</v>
      </c>
      <c r="G33" s="24">
        <f>Parametri!$C$75</f>
        <v>1500</v>
      </c>
      <c r="H33" s="24">
        <f>Parametri!$C$75</f>
        <v>1500</v>
      </c>
      <c r="I33" s="24">
        <f>Parametri!$C$75</f>
        <v>1500</v>
      </c>
      <c r="J33" s="24">
        <f>Parametri!$C$75</f>
        <v>1500</v>
      </c>
      <c r="K33" s="24">
        <f>Parametri!$C$75</f>
        <v>1500</v>
      </c>
      <c r="L33" s="24">
        <f>Parametri!$C$75</f>
        <v>1500</v>
      </c>
      <c r="M33" s="24">
        <f>Parametri!$C$75</f>
        <v>1500</v>
      </c>
      <c r="N33" s="24">
        <f>Parametri!$C$75</f>
        <v>1500</v>
      </c>
      <c r="O33" s="24">
        <f>Parametri!$C$75</f>
        <v>1500</v>
      </c>
      <c r="P33" s="24">
        <f>Parametri!$C$75</f>
        <v>1500</v>
      </c>
      <c r="Q33" s="24">
        <f>Parametri!$C$75</f>
        <v>1500</v>
      </c>
    </row>
    <row r="34" ht="15.75" customHeight="1">
      <c r="A34" s="6" t="s">
        <v>812</v>
      </c>
      <c r="B34" s="24"/>
      <c r="C34" s="24">
        <f>Parametri!$C$76</f>
        <v>500</v>
      </c>
      <c r="D34" s="24">
        <f>Parametri!$C$76</f>
        <v>500</v>
      </c>
      <c r="E34" s="24">
        <f>Parametri!$C$76</f>
        <v>500</v>
      </c>
      <c r="F34" s="24">
        <f>Parametri!$C$76</f>
        <v>500</v>
      </c>
      <c r="G34" s="24">
        <f>Parametri!$C$76</f>
        <v>500</v>
      </c>
      <c r="H34" s="24">
        <f>Parametri!$C$76</f>
        <v>500</v>
      </c>
      <c r="I34" s="24">
        <f>Parametri!$C$76</f>
        <v>500</v>
      </c>
      <c r="J34" s="24">
        <f>Parametri!$C$76</f>
        <v>500</v>
      </c>
      <c r="K34" s="24">
        <f>Parametri!$C$76</f>
        <v>500</v>
      </c>
      <c r="L34" s="24">
        <f>Parametri!$C$76</f>
        <v>500</v>
      </c>
      <c r="M34" s="24">
        <f>Parametri!$C$76</f>
        <v>500</v>
      </c>
      <c r="N34" s="24">
        <f>Parametri!$C$76</f>
        <v>500</v>
      </c>
      <c r="O34" s="24">
        <f>Parametri!$C$76</f>
        <v>500</v>
      </c>
      <c r="P34" s="24">
        <f>Parametri!$C$76</f>
        <v>500</v>
      </c>
      <c r="Q34" s="24">
        <f>Parametri!$C$76</f>
        <v>500</v>
      </c>
    </row>
    <row r="35" ht="15.75" customHeight="1">
      <c r="A35" s="6" t="s">
        <v>813</v>
      </c>
      <c r="B35" s="24"/>
      <c r="C35" s="24">
        <f>IF(Parametri!$C$77=0,0,Parametri!$C$77*(Parametri!$C$79*MIN(MAX(IF(Parametri!$C$64=1,C17*Parametri!$C$65,MAX(0,C28-(C31+C32+C33+C34+C36+C37+C38+C39+C40+C41)))/Parametri!$C$77,Parametri!$C$78),Parametri!$C$80)+Parametri!$C$81)*(1-IF(Parametri!$C$64=1,Parametri!$C$82,0)))</f>
        <v>0</v>
      </c>
      <c r="D35" s="24">
        <f>IF(Parametri!$C$77=0,0,Parametri!$C$77*(Parametri!$C$79*MIN(MAX(IF(Parametri!$C$64=1,D17*Parametri!$C$65,MAX(0,D28-(D31+D32+D33+D34+D36+D37+D38+D39+D40+D41)))/Parametri!$C$77,Parametri!$C$78),Parametri!$C$80)+Parametri!$C$81)*(1-IF(Parametri!$C$64=1,Parametri!$C$82,0)))</f>
        <v>0</v>
      </c>
      <c r="E35" s="24">
        <f>IF(Parametri!$C$77=0,0,Parametri!$C$77*(Parametri!$C$79*MIN(MAX(IF(Parametri!$C$64=1,E17*Parametri!$C$65,MAX(0,E28-(E31+E32+E33+E34+E36+E37+E38+E39+E40+E41)))/Parametri!$C$77,Parametri!$C$78),Parametri!$C$80)+Parametri!$C$81)*(1-IF(Parametri!$C$64=1,Parametri!$C$82,0)))</f>
        <v>0</v>
      </c>
      <c r="F35" s="24">
        <f>IF(Parametri!$C$77=0,0,Parametri!$C$77*(Parametri!$C$79*MIN(MAX(IF(Parametri!$C$64=1,F17*Parametri!$C$65,MAX(0,F28-(F31+F32+F33+F34+F36+F37+F38+F39+F40+F41)))/Parametri!$C$77,Parametri!$C$78),Parametri!$C$80)+Parametri!$C$81)*(1-IF(Parametri!$C$64=1,Parametri!$C$82,0)))</f>
        <v>0</v>
      </c>
      <c r="G35" s="24">
        <f>IF(Parametri!$C$77=0,0,Parametri!$C$77*(Parametri!$C$79*MIN(MAX(IF(Parametri!$C$64=1,G17*Parametri!$C$65,MAX(0,G28-(G31+G32+G33+G34+G36+G37+G38+G39+G40+G41)))/Parametri!$C$77,Parametri!$C$78),Parametri!$C$80)+Parametri!$C$81)*(1-IF(Parametri!$C$64=1,Parametri!$C$82,0)))</f>
        <v>0</v>
      </c>
      <c r="H35" s="24">
        <f>IF(Parametri!$C$77=0,0,Parametri!$C$77*(Parametri!$C$79*MIN(MAX(IF(Parametri!$C$64=1,H17*Parametri!$C$65,MAX(0,H28-(H31+H32+H33+H34+H36+H37+H38+H39+H40+H41)))/Parametri!$C$77,Parametri!$C$78),Parametri!$C$80)+Parametri!$C$81)*(1-IF(Parametri!$C$64=1,Parametri!$C$82,0)))</f>
        <v>0</v>
      </c>
      <c r="I35" s="24">
        <f>IF(Parametri!$C$77=0,0,Parametri!$C$77*(Parametri!$C$79*MIN(MAX(IF(Parametri!$C$64=1,I17*Parametri!$C$65,MAX(0,I28-(I31+I32+I33+I34+I36+I37+I38+I39+I40+I41)))/Parametri!$C$77,Parametri!$C$78),Parametri!$C$80)+Parametri!$C$81)*(1-IF(Parametri!$C$64=1,Parametri!$C$82,0)))</f>
        <v>0</v>
      </c>
      <c r="J35" s="24">
        <f>IF(Parametri!$C$77=0,0,Parametri!$C$77*(Parametri!$C$79*MIN(MAX(IF(Parametri!$C$64=1,J17*Parametri!$C$65,MAX(0,J28-(J31+J32+J33+J34+J36+J37+J38+J39+J40+J41)))/Parametri!$C$77,Parametri!$C$78),Parametri!$C$80)+Parametri!$C$81)*(1-IF(Parametri!$C$64=1,Parametri!$C$82,0)))</f>
        <v>0</v>
      </c>
      <c r="K35" s="24">
        <f>IF(Parametri!$C$77=0,0,Parametri!$C$77*(Parametri!$C$79*MIN(MAX(IF(Parametri!$C$64=1,K17*Parametri!$C$65,MAX(0,K28-(K31+K32+K33+K34+K36+K37+K38+K39+K40+K41)))/Parametri!$C$77,Parametri!$C$78),Parametri!$C$80)+Parametri!$C$81)*(1-IF(Parametri!$C$64=1,Parametri!$C$82,0)))</f>
        <v>0</v>
      </c>
      <c r="L35" s="24">
        <f>IF(Parametri!$C$77=0,0,Parametri!$C$77*(Parametri!$C$79*MIN(MAX(IF(Parametri!$C$64=1,L17*Parametri!$C$65,MAX(0,L28-(L31+L32+L33+L34+L36+L37+L38+L39+L40+L41)))/Parametri!$C$77,Parametri!$C$78),Parametri!$C$80)+Parametri!$C$81)*(1-IF(Parametri!$C$64=1,Parametri!$C$82,0)))</f>
        <v>0</v>
      </c>
      <c r="M35" s="24">
        <f>IF(Parametri!$C$77=0,0,Parametri!$C$77*(Parametri!$C$79*MIN(MAX(IF(Parametri!$C$64=1,M17*Parametri!$C$65,MAX(0,M28-(M31+M32+M33+M34+M36+M37+M38+M39+M40+M41)))/Parametri!$C$77,Parametri!$C$78),Parametri!$C$80)+Parametri!$C$81)*(1-IF(Parametri!$C$64=1,Parametri!$C$82,0)))</f>
        <v>0</v>
      </c>
      <c r="N35" s="24">
        <f>IF(Parametri!$C$77=0,0,Parametri!$C$77*(Parametri!$C$79*MIN(MAX(IF(Parametri!$C$64=1,N17*Parametri!$C$65,MAX(0,N28-(N31+N32+N33+N34+N36+N37+N38+N39+N40+N41)))/Parametri!$C$77,Parametri!$C$78),Parametri!$C$80)+Parametri!$C$81)*(1-IF(Parametri!$C$64=1,Parametri!$C$82,0)))</f>
        <v>0</v>
      </c>
      <c r="O35" s="24">
        <f>IF(Parametri!$C$77=0,0,Parametri!$C$77*(Parametri!$C$79*MIN(MAX(IF(Parametri!$C$64=1,O17*Parametri!$C$65,MAX(0,O28-(O31+O32+O33+O34+O36+O37+O38+O39+O40+O41)))/Parametri!$C$77,Parametri!$C$78),Parametri!$C$80)+Parametri!$C$81)*(1-IF(Parametri!$C$64=1,Parametri!$C$82,0)))</f>
        <v>0</v>
      </c>
      <c r="P35" s="24">
        <f>IF(Parametri!$C$77=0,0,Parametri!$C$77*(Parametri!$C$79*MIN(MAX(IF(Parametri!$C$64=1,P17*Parametri!$C$65,MAX(0,P28-(P31+P32+P33+P34+P36+P37+P38+P39+P40+P41)))/Parametri!$C$77,Parametri!$C$78),Parametri!$C$80)+Parametri!$C$81)*(1-IF(Parametri!$C$64=1,Parametri!$C$82,0)))</f>
        <v>0</v>
      </c>
      <c r="Q35" s="24">
        <f>IF(Parametri!$C$77=0,0,Parametri!$C$77*(Parametri!$C$79*MIN(MAX(IF(Parametri!$C$64=1,Q17*Parametri!$C$65,MAX(0,Q28-(Q31+Q32+Q33+Q34+Q36+Q37+Q38+Q39+Q40+Q41)))/Parametri!$C$77,Parametri!$C$78),Parametri!$C$80)+Parametri!$C$81)*(1-IF(Parametri!$C$64=1,Parametri!$C$82,0)))</f>
        <v>0</v>
      </c>
    </row>
    <row r="36" ht="15.75" customHeight="1">
      <c r="A36" s="6" t="s">
        <v>824</v>
      </c>
      <c r="B36" s="24"/>
      <c r="C36" s="24">
        <f>Parametri!$C$83</f>
        <v>500</v>
      </c>
      <c r="D36" s="24">
        <f>Parametri!$C$83</f>
        <v>500</v>
      </c>
      <c r="E36" s="24">
        <f>Parametri!$C$83</f>
        <v>500</v>
      </c>
      <c r="F36" s="24">
        <f>Parametri!$C$83</f>
        <v>500</v>
      </c>
      <c r="G36" s="24">
        <f>Parametri!$C$83</f>
        <v>500</v>
      </c>
      <c r="H36" s="24">
        <f>Parametri!$C$83</f>
        <v>500</v>
      </c>
      <c r="I36" s="24">
        <f>Parametri!$C$83</f>
        <v>500</v>
      </c>
      <c r="J36" s="24">
        <f>Parametri!$C$83</f>
        <v>500</v>
      </c>
      <c r="K36" s="24">
        <f>Parametri!$C$83</f>
        <v>500</v>
      </c>
      <c r="L36" s="24">
        <f>Parametri!$C$83</f>
        <v>500</v>
      </c>
      <c r="M36" s="24">
        <f>Parametri!$C$83</f>
        <v>500</v>
      </c>
      <c r="N36" s="24">
        <f>Parametri!$C$83</f>
        <v>500</v>
      </c>
      <c r="O36" s="24">
        <f>Parametri!$C$83</f>
        <v>500</v>
      </c>
      <c r="P36" s="24">
        <f>Parametri!$C$83</f>
        <v>500</v>
      </c>
      <c r="Q36" s="24">
        <f>Parametri!$C$83</f>
        <v>500</v>
      </c>
    </row>
    <row r="37" ht="15.75" customHeight="1">
      <c r="A37" s="6" t="s">
        <v>511</v>
      </c>
      <c r="B37" s="24"/>
      <c r="C37" s="24">
        <f>Parametri!$C$84</f>
        <v>0</v>
      </c>
      <c r="D37" s="24">
        <f>Parametri!$C$84</f>
        <v>0</v>
      </c>
      <c r="E37" s="24">
        <f>Parametri!$C$84</f>
        <v>0</v>
      </c>
      <c r="F37" s="24">
        <f>Parametri!$C$84</f>
        <v>0</v>
      </c>
      <c r="G37" s="24">
        <f>Parametri!$C$84</f>
        <v>0</v>
      </c>
      <c r="H37" s="24">
        <f>Parametri!$C$84</f>
        <v>0</v>
      </c>
      <c r="I37" s="24">
        <f>Parametri!$C$84</f>
        <v>0</v>
      </c>
      <c r="J37" s="24">
        <f>Parametri!$C$84</f>
        <v>0</v>
      </c>
      <c r="K37" s="24">
        <f>Parametri!$C$84</f>
        <v>0</v>
      </c>
      <c r="L37" s="24">
        <f>Parametri!$C$84</f>
        <v>0</v>
      </c>
      <c r="M37" s="24">
        <f>Parametri!$C$84</f>
        <v>0</v>
      </c>
      <c r="N37" s="24">
        <f>Parametri!$C$84</f>
        <v>0</v>
      </c>
      <c r="O37" s="24">
        <f>Parametri!$C$84</f>
        <v>0</v>
      </c>
      <c r="P37" s="24">
        <f>Parametri!$C$84</f>
        <v>0</v>
      </c>
      <c r="Q37" s="24">
        <f>Parametri!$C$84</f>
        <v>0</v>
      </c>
    </row>
    <row r="38" ht="15.75" customHeight="1">
      <c r="A38" s="6" t="s">
        <v>514</v>
      </c>
      <c r="B38" s="24"/>
      <c r="C38" s="24">
        <f>Parametri!$C$85*'Impianto e costi'!$G$70</f>
        <v>535.354</v>
      </c>
      <c r="D38" s="24">
        <f>Parametri!$C$85*'Impianto e costi'!$G$70</f>
        <v>535.354</v>
      </c>
      <c r="E38" s="24">
        <f>Parametri!$C$85*'Impianto e costi'!$G$70</f>
        <v>535.354</v>
      </c>
      <c r="F38" s="24">
        <f>Parametri!$C$85*'Impianto e costi'!$G$70</f>
        <v>535.354</v>
      </c>
      <c r="G38" s="24">
        <f>Parametri!$C$85*'Impianto e costi'!$G$70</f>
        <v>535.354</v>
      </c>
      <c r="H38" s="24">
        <f>Parametri!$C$85*'Impianto e costi'!$G$70</f>
        <v>535.354</v>
      </c>
      <c r="I38" s="24">
        <f>Parametri!$C$85*'Impianto e costi'!$G$70</f>
        <v>535.354</v>
      </c>
      <c r="J38" s="24">
        <f>Parametri!$C$85*'Impianto e costi'!$G$70</f>
        <v>535.354</v>
      </c>
      <c r="K38" s="24">
        <f>Parametri!$C$85*'Impianto e costi'!$G$70</f>
        <v>535.354</v>
      </c>
      <c r="L38" s="24">
        <f>Parametri!$C$85*'Impianto e costi'!$G$70</f>
        <v>535.354</v>
      </c>
      <c r="M38" s="24">
        <f>Parametri!$C$85*'Impianto e costi'!$G$70</f>
        <v>535.354</v>
      </c>
      <c r="N38" s="24">
        <f>Parametri!$C$85*'Impianto e costi'!$G$70</f>
        <v>535.354</v>
      </c>
      <c r="O38" s="24">
        <f>Parametri!$C$85*'Impianto e costi'!$G$70</f>
        <v>535.354</v>
      </c>
      <c r="P38" s="24">
        <f>Parametri!$C$85*'Impianto e costi'!$G$70</f>
        <v>535.354</v>
      </c>
      <c r="Q38" s="24">
        <f>Parametri!$C$85*'Impianto e costi'!$G$70</f>
        <v>535.354</v>
      </c>
    </row>
    <row r="39" ht="15.75" customHeight="1">
      <c r="A39" s="6" t="s">
        <v>517</v>
      </c>
      <c r="B39" s="24"/>
      <c r="C39" s="24">
        <f>Parametri!$C$86</f>
        <v>250</v>
      </c>
      <c r="D39" s="24">
        <f>Parametri!$C$86</f>
        <v>250</v>
      </c>
      <c r="E39" s="24">
        <f>Parametri!$C$86</f>
        <v>250</v>
      </c>
      <c r="F39" s="24">
        <f>Parametri!$C$86</f>
        <v>250</v>
      </c>
      <c r="G39" s="24">
        <f>Parametri!$C$86</f>
        <v>250</v>
      </c>
      <c r="H39" s="24">
        <f>Parametri!$C$86</f>
        <v>250</v>
      </c>
      <c r="I39" s="24">
        <f>Parametri!$C$86</f>
        <v>250</v>
      </c>
      <c r="J39" s="24">
        <f>Parametri!$C$86</f>
        <v>250</v>
      </c>
      <c r="K39" s="24">
        <f>Parametri!$C$86</f>
        <v>250</v>
      </c>
      <c r="L39" s="24">
        <f>Parametri!$C$86</f>
        <v>250</v>
      </c>
      <c r="M39" s="24">
        <f>Parametri!$C$86</f>
        <v>250</v>
      </c>
      <c r="N39" s="24">
        <f>Parametri!$C$86</f>
        <v>250</v>
      </c>
      <c r="O39" s="24">
        <f>Parametri!$C$86</f>
        <v>250</v>
      </c>
      <c r="P39" s="24">
        <f>Parametri!$C$86</f>
        <v>250</v>
      </c>
      <c r="Q39" s="24">
        <f>Parametri!$C$86</f>
        <v>250</v>
      </c>
    </row>
    <row r="40" ht="15.75" customHeight="1">
      <c r="A40" s="6" t="s">
        <v>874</v>
      </c>
      <c r="B40" s="24"/>
      <c r="C40" s="24">
        <f>Parametri!$C$87</f>
        <v>1000</v>
      </c>
      <c r="D40" s="24">
        <f>Parametri!$C$87</f>
        <v>1000</v>
      </c>
      <c r="E40" s="24">
        <f>Parametri!$C$87</f>
        <v>1000</v>
      </c>
      <c r="F40" s="24">
        <f>Parametri!$C$87</f>
        <v>1000</v>
      </c>
      <c r="G40" s="24">
        <f>Parametri!$C$87</f>
        <v>1000</v>
      </c>
      <c r="H40" s="24">
        <f>Parametri!$C$87</f>
        <v>1000</v>
      </c>
      <c r="I40" s="24">
        <f>Parametri!$C$87</f>
        <v>1000</v>
      </c>
      <c r="J40" s="24">
        <f>Parametri!$C$87</f>
        <v>1000</v>
      </c>
      <c r="K40" s="24">
        <f>Parametri!$C$87</f>
        <v>1000</v>
      </c>
      <c r="L40" s="24">
        <f>Parametri!$C$87</f>
        <v>1000</v>
      </c>
      <c r="M40" s="24">
        <f>Parametri!$C$87</f>
        <v>1000</v>
      </c>
      <c r="N40" s="24">
        <f>Parametri!$C$87</f>
        <v>1000</v>
      </c>
      <c r="O40" s="24">
        <f>Parametri!$C$87</f>
        <v>1000</v>
      </c>
      <c r="P40" s="24">
        <f>Parametri!$C$87</f>
        <v>1000</v>
      </c>
      <c r="Q40" s="24">
        <f>Parametri!$C$87</f>
        <v>1000</v>
      </c>
    </row>
    <row r="41" ht="15.75" customHeight="1">
      <c r="A41" s="6" t="s">
        <v>522</v>
      </c>
      <c r="B41" s="24"/>
      <c r="C41" s="24">
        <f>Parametri!$C$88</f>
        <v>0</v>
      </c>
      <c r="D41" s="24">
        <f>Parametri!$C$88</f>
        <v>0</v>
      </c>
      <c r="E41" s="24">
        <f>Parametri!$C$88</f>
        <v>0</v>
      </c>
      <c r="F41" s="24">
        <f>Parametri!$C$88</f>
        <v>0</v>
      </c>
      <c r="G41" s="24">
        <f>Parametri!$C$88</f>
        <v>0</v>
      </c>
      <c r="H41" s="24">
        <f>Parametri!$C$88</f>
        <v>0</v>
      </c>
      <c r="I41" s="24">
        <f>Parametri!$C$88</f>
        <v>0</v>
      </c>
      <c r="J41" s="24">
        <f>Parametri!$C$88</f>
        <v>0</v>
      </c>
      <c r="K41" s="24">
        <f>Parametri!$C$88</f>
        <v>0</v>
      </c>
      <c r="L41" s="24">
        <f>Parametri!$C$88</f>
        <v>0</v>
      </c>
      <c r="M41" s="24">
        <f>Parametri!$C$88</f>
        <v>0</v>
      </c>
      <c r="N41" s="24">
        <f>Parametri!$C$88</f>
        <v>0</v>
      </c>
      <c r="O41" s="24">
        <f>Parametri!$C$88</f>
        <v>0</v>
      </c>
      <c r="P41" s="24">
        <f>Parametri!$C$88</f>
        <v>0</v>
      </c>
      <c r="Q41" s="24">
        <f>Parametri!$C$88</f>
        <v>0</v>
      </c>
    </row>
    <row r="42" ht="15.75" customHeight="1">
      <c r="A42" s="15" t="s">
        <v>881</v>
      </c>
      <c r="B42" s="62"/>
      <c r="C42" s="62">
        <f t="shared" ref="C42:Q42" si="6">SUM(C31:C41)</f>
        <v>5725.354</v>
      </c>
      <c r="D42" s="62">
        <f t="shared" si="6"/>
        <v>5725.354</v>
      </c>
      <c r="E42" s="62">
        <f t="shared" si="6"/>
        <v>5725.354</v>
      </c>
      <c r="F42" s="62">
        <f t="shared" si="6"/>
        <v>5725.354</v>
      </c>
      <c r="G42" s="62">
        <f t="shared" si="6"/>
        <v>5725.354</v>
      </c>
      <c r="H42" s="62">
        <f t="shared" si="6"/>
        <v>5725.354</v>
      </c>
      <c r="I42" s="62">
        <f t="shared" si="6"/>
        <v>5725.354</v>
      </c>
      <c r="J42" s="62">
        <f t="shared" si="6"/>
        <v>5725.354</v>
      </c>
      <c r="K42" s="62">
        <f t="shared" si="6"/>
        <v>5725.354</v>
      </c>
      <c r="L42" s="62">
        <f t="shared" si="6"/>
        <v>5725.354</v>
      </c>
      <c r="M42" s="62">
        <f t="shared" si="6"/>
        <v>5725.354</v>
      </c>
      <c r="N42" s="62">
        <f t="shared" si="6"/>
        <v>5725.354</v>
      </c>
      <c r="O42" s="62">
        <f t="shared" si="6"/>
        <v>5725.354</v>
      </c>
      <c r="P42" s="62">
        <f t="shared" si="6"/>
        <v>5725.354</v>
      </c>
      <c r="Q42" s="62">
        <f t="shared" si="6"/>
        <v>5725.354</v>
      </c>
    </row>
    <row r="43" ht="15.75" customHeight="1">
      <c r="A43" s="5" t="s">
        <v>885</v>
      </c>
      <c r="B43" s="68"/>
      <c r="C43" s="68">
        <f t="shared" ref="C43:Q43" si="7">C28-C42</f>
        <v>1015.492948</v>
      </c>
      <c r="D43" s="68">
        <f t="shared" si="7"/>
        <v>5228.522291</v>
      </c>
      <c r="E43" s="68">
        <f t="shared" si="7"/>
        <v>8598.945765</v>
      </c>
      <c r="F43" s="68">
        <f t="shared" si="7"/>
        <v>11126.76337</v>
      </c>
      <c r="G43" s="68">
        <f t="shared" si="7"/>
        <v>11126.76337</v>
      </c>
      <c r="H43" s="68">
        <f t="shared" si="7"/>
        <v>11126.76337</v>
      </c>
      <c r="I43" s="68">
        <f t="shared" si="7"/>
        <v>11126.76337</v>
      </c>
      <c r="J43" s="68">
        <f t="shared" si="7"/>
        <v>11126.76337</v>
      </c>
      <c r="K43" s="68">
        <f t="shared" si="7"/>
        <v>11126.76337</v>
      </c>
      <c r="L43" s="68">
        <f t="shared" si="7"/>
        <v>11126.76337</v>
      </c>
      <c r="M43" s="68">
        <f t="shared" si="7"/>
        <v>11126.76337</v>
      </c>
      <c r="N43" s="68">
        <f t="shared" si="7"/>
        <v>11126.76337</v>
      </c>
      <c r="O43" s="68">
        <f t="shared" si="7"/>
        <v>11126.76337</v>
      </c>
      <c r="P43" s="68">
        <f t="shared" si="7"/>
        <v>11126.76337</v>
      </c>
      <c r="Q43" s="68">
        <f t="shared" si="7"/>
        <v>11126.76337</v>
      </c>
    </row>
    <row r="44" ht="15.75" customHeight="1">
      <c r="A44" s="6" t="s">
        <v>889</v>
      </c>
      <c r="B44" s="24"/>
      <c r="C44" s="24">
        <f>IF(COLUMNS($C44:C44)&lt;=Parametri!$C$70,('Impianto e costi'!$G$70-'Impianto e costi'!$G$29)/Parametri!$C$70,0)+IF(COLUMNS($C44:C44)&lt;=Parametri!$C$71,'Impianto e costi'!$G$29/Parametri!$C$71,0)</f>
        <v>5507.54</v>
      </c>
      <c r="D44" s="24">
        <f>IF(COLUMNS($C44:D44)&lt;=Parametri!$C$70,('Impianto e costi'!$G$70-'Impianto e costi'!$G$29)/Parametri!$C$70,0)+IF(COLUMNS($C44:D44)&lt;=Parametri!$C$71,'Impianto e costi'!$G$29/Parametri!$C$71,0)</f>
        <v>5507.54</v>
      </c>
      <c r="E44" s="24">
        <f>IF(COLUMNS($C44:E44)&lt;=Parametri!$C$70,('Impianto e costi'!$G$70-'Impianto e costi'!$G$29)/Parametri!$C$70,0)+IF(COLUMNS($C44:E44)&lt;=Parametri!$C$71,'Impianto e costi'!$G$29/Parametri!$C$71,0)</f>
        <v>5507.54</v>
      </c>
      <c r="F44" s="24">
        <f>IF(COLUMNS($C44:F44)&lt;=Parametri!$C$70,('Impianto e costi'!$G$70-'Impianto e costi'!$G$29)/Parametri!$C$70,0)+IF(COLUMNS($C44:F44)&lt;=Parametri!$C$71,'Impianto e costi'!$G$29/Parametri!$C$71,0)</f>
        <v>5507.54</v>
      </c>
      <c r="G44" s="24">
        <f>IF(COLUMNS($C44:G44)&lt;=Parametri!$C$70,('Impianto e costi'!$G$70-'Impianto e costi'!$G$29)/Parametri!$C$70,0)+IF(COLUMNS($C44:G44)&lt;=Parametri!$C$71,'Impianto e costi'!$G$29/Parametri!$C$71,0)</f>
        <v>5507.54</v>
      </c>
      <c r="H44" s="24">
        <f>IF(COLUMNS($C44:H44)&lt;=Parametri!$C$70,('Impianto e costi'!$G$70-'Impianto e costi'!$G$29)/Parametri!$C$70,0)+IF(COLUMNS($C44:H44)&lt;=Parametri!$C$71,'Impianto e costi'!$G$29/Parametri!$C$71,0)</f>
        <v>5507.54</v>
      </c>
      <c r="I44" s="24">
        <f>IF(COLUMNS($C44:I44)&lt;=Parametri!$C$70,('Impianto e costi'!$G$70-'Impianto e costi'!$G$29)/Parametri!$C$70,0)+IF(COLUMNS($C44:I44)&lt;=Parametri!$C$71,'Impianto e costi'!$G$29/Parametri!$C$71,0)</f>
        <v>5122.54</v>
      </c>
      <c r="J44" s="24">
        <f>IF(COLUMNS($C44:J44)&lt;=Parametri!$C$70,('Impianto e costi'!$G$70-'Impianto e costi'!$G$29)/Parametri!$C$70,0)+IF(COLUMNS($C44:J44)&lt;=Parametri!$C$71,'Impianto e costi'!$G$29/Parametri!$C$71,0)</f>
        <v>5122.54</v>
      </c>
      <c r="K44" s="24">
        <f>IF(COLUMNS($C44:K44)&lt;=Parametri!$C$70,('Impianto e costi'!$G$70-'Impianto e costi'!$G$29)/Parametri!$C$70,0)+IF(COLUMNS($C44:K44)&lt;=Parametri!$C$71,'Impianto e costi'!$G$29/Parametri!$C$71,0)</f>
        <v>5122.54</v>
      </c>
      <c r="L44" s="24">
        <f>IF(COLUMNS($C44:L44)&lt;=Parametri!$C$70,('Impianto e costi'!$G$70-'Impianto e costi'!$G$29)/Parametri!$C$70,0)+IF(COLUMNS($C44:L44)&lt;=Parametri!$C$71,'Impianto e costi'!$G$29/Parametri!$C$71,0)</f>
        <v>5122.54</v>
      </c>
      <c r="M44" s="24">
        <f>IF(COLUMNS($C44:M44)&lt;=Parametri!$C$70,('Impianto e costi'!$G$70-'Impianto e costi'!$G$29)/Parametri!$C$70,0)+IF(COLUMNS($C44:M44)&lt;=Parametri!$C$71,'Impianto e costi'!$G$29/Parametri!$C$71,0)</f>
        <v>0</v>
      </c>
      <c r="N44" s="24">
        <f>IF(COLUMNS($C44:N44)&lt;=Parametri!$C$70,('Impianto e costi'!$G$70-'Impianto e costi'!$G$29)/Parametri!$C$70,0)+IF(COLUMNS($C44:N44)&lt;=Parametri!$C$71,'Impianto e costi'!$G$29/Parametri!$C$71,0)</f>
        <v>0</v>
      </c>
      <c r="O44" s="24">
        <f>IF(COLUMNS($C44:O44)&lt;=Parametri!$C$70,('Impianto e costi'!$G$70-'Impianto e costi'!$G$29)/Parametri!$C$70,0)+IF(COLUMNS($C44:O44)&lt;=Parametri!$C$71,'Impianto e costi'!$G$29/Parametri!$C$71,0)</f>
        <v>0</v>
      </c>
      <c r="P44" s="24">
        <f>IF(COLUMNS($C44:P44)&lt;=Parametri!$C$70,('Impianto e costi'!$G$70-'Impianto e costi'!$G$29)/Parametri!$C$70,0)+IF(COLUMNS($C44:P44)&lt;=Parametri!$C$71,'Impianto e costi'!$G$29/Parametri!$C$71,0)</f>
        <v>0</v>
      </c>
      <c r="Q44" s="24">
        <f>IF(COLUMNS($C44:Q44)&lt;=Parametri!$C$70,('Impianto e costi'!$G$70-'Impianto e costi'!$G$29)/Parametri!$C$70,0)+IF(COLUMNS($C44:Q44)&lt;=Parametri!$C$71,'Impianto e costi'!$G$29/Parametri!$C$71,0)</f>
        <v>0</v>
      </c>
    </row>
    <row r="45" ht="15.75" customHeight="1">
      <c r="A45" s="6" t="s">
        <v>945</v>
      </c>
      <c r="B45" s="53"/>
      <c r="C45" s="53">
        <f t="shared" ref="C45:Q45" si="8">C43-C44</f>
        <v>-4492.047052</v>
      </c>
      <c r="D45" s="53">
        <f t="shared" si="8"/>
        <v>-279.0177088</v>
      </c>
      <c r="E45" s="53">
        <f t="shared" si="8"/>
        <v>3091.405765</v>
      </c>
      <c r="F45" s="53">
        <f t="shared" si="8"/>
        <v>5619.223371</v>
      </c>
      <c r="G45" s="53">
        <f t="shared" si="8"/>
        <v>5619.223371</v>
      </c>
      <c r="H45" s="53">
        <f t="shared" si="8"/>
        <v>5619.223371</v>
      </c>
      <c r="I45" s="53">
        <f t="shared" si="8"/>
        <v>6004.223371</v>
      </c>
      <c r="J45" s="53">
        <f t="shared" si="8"/>
        <v>6004.223371</v>
      </c>
      <c r="K45" s="53">
        <f t="shared" si="8"/>
        <v>6004.223371</v>
      </c>
      <c r="L45" s="53">
        <f t="shared" si="8"/>
        <v>6004.223371</v>
      </c>
      <c r="M45" s="53">
        <f t="shared" si="8"/>
        <v>11126.76337</v>
      </c>
      <c r="N45" s="53">
        <f t="shared" si="8"/>
        <v>11126.76337</v>
      </c>
      <c r="O45" s="53">
        <f t="shared" si="8"/>
        <v>11126.76337</v>
      </c>
      <c r="P45" s="53">
        <f t="shared" si="8"/>
        <v>11126.76337</v>
      </c>
      <c r="Q45" s="53">
        <f t="shared" si="8"/>
        <v>11126.76337</v>
      </c>
    </row>
    <row r="46" ht="15.75" customHeight="1">
      <c r="A46" s="6" t="s">
        <v>949</v>
      </c>
      <c r="B46" s="24"/>
      <c r="C46" s="24">
        <f>IF(Parametri!$C$64=1,MAX(0,C17*Parametri!$C$65-C35)*Parametri!$C$66,MAX(0,C45)*(Parametri!$C$68+Parametri!$C$69))</f>
        <v>0</v>
      </c>
      <c r="D46" s="24">
        <f>IF(Parametri!$C$64=1,MAX(0,D17*Parametri!$C$65-D35)*Parametri!$C$66,MAX(0,D45)*(Parametri!$C$68+Parametri!$C$69))</f>
        <v>0</v>
      </c>
      <c r="E46" s="24">
        <f>IF(Parametri!$C$64=1,MAX(0,E17*Parametri!$C$65-E35)*Parametri!$C$66,MAX(0,E45)*(Parametri!$C$68+Parametri!$C$69))</f>
        <v>862.5022085</v>
      </c>
      <c r="F46" s="24">
        <f>IF(Parametri!$C$64=1,MAX(0,F17*Parametri!$C$65-F35)*Parametri!$C$66,MAX(0,F45)*(Parametri!$C$68+Parametri!$C$69))</f>
        <v>1567.763321</v>
      </c>
      <c r="G46" s="24">
        <f>IF(Parametri!$C$64=1,MAX(0,G17*Parametri!$C$65-G35)*Parametri!$C$66,MAX(0,G45)*(Parametri!$C$68+Parametri!$C$69))</f>
        <v>1567.763321</v>
      </c>
      <c r="H46" s="24">
        <f>IF(Parametri!$C$64=1,MAX(0,H17*Parametri!$C$65-H35)*Parametri!$C$66,MAX(0,H45)*(Parametri!$C$68+Parametri!$C$69))</f>
        <v>1567.763321</v>
      </c>
      <c r="I46" s="24">
        <f>IF(Parametri!$C$64=1,MAX(0,I17*Parametri!$C$65-I35)*Parametri!$C$66,MAX(0,I45)*(Parametri!$C$68+Parametri!$C$69))</f>
        <v>1675.178321</v>
      </c>
      <c r="J46" s="24">
        <f>IF(Parametri!$C$64=1,MAX(0,J17*Parametri!$C$65-J35)*Parametri!$C$66,MAX(0,J45)*(Parametri!$C$68+Parametri!$C$69))</f>
        <v>1675.178321</v>
      </c>
      <c r="K46" s="24">
        <f>IF(Parametri!$C$64=1,MAX(0,K17*Parametri!$C$65-K35)*Parametri!$C$66,MAX(0,K45)*(Parametri!$C$68+Parametri!$C$69))</f>
        <v>1675.178321</v>
      </c>
      <c r="L46" s="24">
        <f>IF(Parametri!$C$64=1,MAX(0,L17*Parametri!$C$65-L35)*Parametri!$C$66,MAX(0,L45)*(Parametri!$C$68+Parametri!$C$69))</f>
        <v>1675.178321</v>
      </c>
      <c r="M46" s="24">
        <f>IF(Parametri!$C$64=1,MAX(0,M17*Parametri!$C$65-M35)*Parametri!$C$66,MAX(0,M45)*(Parametri!$C$68+Parametri!$C$69))</f>
        <v>3104.366981</v>
      </c>
      <c r="N46" s="24">
        <f>IF(Parametri!$C$64=1,MAX(0,N17*Parametri!$C$65-N35)*Parametri!$C$66,MAX(0,N45)*(Parametri!$C$68+Parametri!$C$69))</f>
        <v>3104.366981</v>
      </c>
      <c r="O46" s="24">
        <f>IF(Parametri!$C$64=1,MAX(0,O17*Parametri!$C$65-O35)*Parametri!$C$66,MAX(0,O45)*(Parametri!$C$68+Parametri!$C$69))</f>
        <v>3104.366981</v>
      </c>
      <c r="P46" s="24">
        <f>IF(Parametri!$C$64=1,MAX(0,P17*Parametri!$C$65-P35)*Parametri!$C$66,MAX(0,P45)*(Parametri!$C$68+Parametri!$C$69))</f>
        <v>3104.366981</v>
      </c>
      <c r="Q46" s="24">
        <f>IF(Parametri!$C$64=1,MAX(0,Q17*Parametri!$C$65-Q35)*Parametri!$C$66,MAX(0,Q45)*(Parametri!$C$68+Parametri!$C$69))</f>
        <v>3104.366981</v>
      </c>
    </row>
    <row r="47" ht="15.75" customHeight="1">
      <c r="A47" s="15" t="s">
        <v>975</v>
      </c>
      <c r="B47" s="62"/>
      <c r="C47" s="62">
        <f t="shared" ref="C47:Q47" si="9">C45-C46</f>
        <v>-4492.047052</v>
      </c>
      <c r="D47" s="62">
        <f t="shared" si="9"/>
        <v>-279.0177088</v>
      </c>
      <c r="E47" s="62">
        <f t="shared" si="9"/>
        <v>2228.903557</v>
      </c>
      <c r="F47" s="62">
        <f t="shared" si="9"/>
        <v>4051.46005</v>
      </c>
      <c r="G47" s="62">
        <f t="shared" si="9"/>
        <v>4051.46005</v>
      </c>
      <c r="H47" s="62">
        <f t="shared" si="9"/>
        <v>4051.46005</v>
      </c>
      <c r="I47" s="62">
        <f t="shared" si="9"/>
        <v>4329.04505</v>
      </c>
      <c r="J47" s="62">
        <f t="shared" si="9"/>
        <v>4329.04505</v>
      </c>
      <c r="K47" s="62">
        <f t="shared" si="9"/>
        <v>4329.04505</v>
      </c>
      <c r="L47" s="62">
        <f t="shared" si="9"/>
        <v>4329.04505</v>
      </c>
      <c r="M47" s="62">
        <f t="shared" si="9"/>
        <v>8022.39639</v>
      </c>
      <c r="N47" s="62">
        <f t="shared" si="9"/>
        <v>8022.39639</v>
      </c>
      <c r="O47" s="62">
        <f t="shared" si="9"/>
        <v>8022.39639</v>
      </c>
      <c r="P47" s="62">
        <f t="shared" si="9"/>
        <v>8022.39639</v>
      </c>
      <c r="Q47" s="62">
        <f t="shared" si="9"/>
        <v>8022.39639</v>
      </c>
    </row>
    <row r="48" ht="15.75" customHeight="1">
      <c r="A48" s="6" t="s">
        <v>979</v>
      </c>
      <c r="B48" s="94"/>
      <c r="C48" s="94" t="str">
        <f>IF(AND(Parametri!$C$64=1,C17&gt;Parametri!$C$67),"OLTRE LIMITE","ok")</f>
        <v>ok</v>
      </c>
      <c r="D48" s="94" t="str">
        <f>IF(AND(Parametri!$C$64=1,D17&gt;Parametri!$C$67),"OLTRE LIMITE","ok")</f>
        <v>ok</v>
      </c>
      <c r="E48" s="94" t="str">
        <f>IF(AND(Parametri!$C$64=1,E17&gt;Parametri!$C$67),"OLTRE LIMITE","ok")</f>
        <v>ok</v>
      </c>
      <c r="F48" s="94" t="str">
        <f>IF(AND(Parametri!$C$64=1,F17&gt;Parametri!$C$67),"OLTRE LIMITE","ok")</f>
        <v>ok</v>
      </c>
      <c r="G48" s="94" t="str">
        <f>IF(AND(Parametri!$C$64=1,G17&gt;Parametri!$C$67),"OLTRE LIMITE","ok")</f>
        <v>ok</v>
      </c>
      <c r="H48" s="94" t="str">
        <f>IF(AND(Parametri!$C$64=1,H17&gt;Parametri!$C$67),"OLTRE LIMITE","ok")</f>
        <v>ok</v>
      </c>
      <c r="I48" s="94" t="str">
        <f>IF(AND(Parametri!$C$64=1,I17&gt;Parametri!$C$67),"OLTRE LIMITE","ok")</f>
        <v>ok</v>
      </c>
      <c r="J48" s="94" t="str">
        <f>IF(AND(Parametri!$C$64=1,J17&gt;Parametri!$C$67),"OLTRE LIMITE","ok")</f>
        <v>ok</v>
      </c>
      <c r="K48" s="94" t="str">
        <f>IF(AND(Parametri!$C$64=1,K17&gt;Parametri!$C$67),"OLTRE LIMITE","ok")</f>
        <v>ok</v>
      </c>
      <c r="L48" s="94" t="str">
        <f>IF(AND(Parametri!$C$64=1,L17&gt;Parametri!$C$67),"OLTRE LIMITE","ok")</f>
        <v>ok</v>
      </c>
      <c r="M48" s="94" t="str">
        <f>IF(AND(Parametri!$C$64=1,M17&gt;Parametri!$C$67),"OLTRE LIMITE","ok")</f>
        <v>ok</v>
      </c>
      <c r="N48" s="94" t="str">
        <f>IF(AND(Parametri!$C$64=1,N17&gt;Parametri!$C$67),"OLTRE LIMITE","ok")</f>
        <v>ok</v>
      </c>
      <c r="O48" s="94" t="str">
        <f>IF(AND(Parametri!$C$64=1,O17&gt;Parametri!$C$67),"OLTRE LIMITE","ok")</f>
        <v>ok</v>
      </c>
      <c r="P48" s="94" t="str">
        <f>IF(AND(Parametri!$C$64=1,P17&gt;Parametri!$C$67),"OLTRE LIMITE","ok")</f>
        <v>ok</v>
      </c>
      <c r="Q48" s="94" t="str">
        <f>IF(AND(Parametri!$C$64=1,Q17&gt;Parametri!$C$67),"OLTRE LIMITE","ok")</f>
        <v>ok</v>
      </c>
    </row>
    <row r="49" ht="15.75" customHeight="1">
      <c r="A49" s="6" t="s">
        <v>1006</v>
      </c>
      <c r="B49" s="28"/>
      <c r="C49" s="28">
        <f>C12*Parametri!$C$91+C8/100*Parametri!$C$92</f>
        <v>179.2983333</v>
      </c>
      <c r="D49" s="28">
        <f>D12*Parametri!$C$91+D8/100*Parametri!$C$92</f>
        <v>291.3597917</v>
      </c>
      <c r="E49" s="28">
        <f>E12*Parametri!$C$91+E8/100*Parametri!$C$92</f>
        <v>381.0089583</v>
      </c>
      <c r="F49" s="28">
        <f>F12*Parametri!$C$91+F8/100*Parametri!$C$92</f>
        <v>448.2458333</v>
      </c>
      <c r="G49" s="28">
        <f>G12*Parametri!$C$91+G8/100*Parametri!$C$92</f>
        <v>448.2458333</v>
      </c>
      <c r="H49" s="28">
        <f>H12*Parametri!$C$91+H8/100*Parametri!$C$92</f>
        <v>448.2458333</v>
      </c>
      <c r="I49" s="28">
        <f>I12*Parametri!$C$91+I8/100*Parametri!$C$92</f>
        <v>448.2458333</v>
      </c>
      <c r="J49" s="28">
        <f>J12*Parametri!$C$91+J8/100*Parametri!$C$92</f>
        <v>448.2458333</v>
      </c>
      <c r="K49" s="28">
        <f>K12*Parametri!$C$91+K8/100*Parametri!$C$92</f>
        <v>448.2458333</v>
      </c>
      <c r="L49" s="28">
        <f>L12*Parametri!$C$91+L8/100*Parametri!$C$92</f>
        <v>448.2458333</v>
      </c>
      <c r="M49" s="28">
        <f>M12*Parametri!$C$91+M8/100*Parametri!$C$92</f>
        <v>448.2458333</v>
      </c>
      <c r="N49" s="28">
        <f>N12*Parametri!$C$91+N8/100*Parametri!$C$92</f>
        <v>448.2458333</v>
      </c>
      <c r="O49" s="28">
        <f>O12*Parametri!$C$91+O8/100*Parametri!$C$92</f>
        <v>448.2458333</v>
      </c>
      <c r="P49" s="28">
        <f>P12*Parametri!$C$91+P8/100*Parametri!$C$92</f>
        <v>448.2458333</v>
      </c>
      <c r="Q49" s="28">
        <f>Q12*Parametri!$C$91+Q8/100*Parametri!$C$92</f>
        <v>448.2458333</v>
      </c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ht="15.75" customHeight="1">
      <c r="A52" s="33" t="s">
        <v>1028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</row>
    <row r="53" ht="15.75" customHeight="1">
      <c r="A53" s="5" t="s">
        <v>1032</v>
      </c>
      <c r="B53" s="23">
        <f>-'Impianto e costi'!$G$73</f>
        <v>-60311.69118</v>
      </c>
      <c r="C53" s="68">
        <f t="shared" ref="C53:Q53" si="10">C47+C44</f>
        <v>1015.492948</v>
      </c>
      <c r="D53" s="68">
        <f t="shared" si="10"/>
        <v>5228.522291</v>
      </c>
      <c r="E53" s="68">
        <f t="shared" si="10"/>
        <v>7736.443557</v>
      </c>
      <c r="F53" s="68">
        <f t="shared" si="10"/>
        <v>9559.00005</v>
      </c>
      <c r="G53" s="68">
        <f t="shared" si="10"/>
        <v>9559.00005</v>
      </c>
      <c r="H53" s="68">
        <f t="shared" si="10"/>
        <v>9559.00005</v>
      </c>
      <c r="I53" s="68">
        <f t="shared" si="10"/>
        <v>9451.58505</v>
      </c>
      <c r="J53" s="68">
        <f t="shared" si="10"/>
        <v>9451.58505</v>
      </c>
      <c r="K53" s="68">
        <f t="shared" si="10"/>
        <v>9451.58505</v>
      </c>
      <c r="L53" s="68">
        <f t="shared" si="10"/>
        <v>9451.58505</v>
      </c>
      <c r="M53" s="68">
        <f t="shared" si="10"/>
        <v>8022.39639</v>
      </c>
      <c r="N53" s="68">
        <f t="shared" si="10"/>
        <v>8022.39639</v>
      </c>
      <c r="O53" s="68">
        <f t="shared" si="10"/>
        <v>8022.39639</v>
      </c>
      <c r="P53" s="68">
        <f t="shared" si="10"/>
        <v>8022.39639</v>
      </c>
      <c r="Q53" s="68">
        <f t="shared" si="10"/>
        <v>8022.39639</v>
      </c>
    </row>
    <row r="54" ht="15.75" customHeight="1">
      <c r="A54" s="6" t="s">
        <v>1041</v>
      </c>
      <c r="B54" s="53">
        <f>B53</f>
        <v>-60311.69118</v>
      </c>
      <c r="C54" s="53">
        <f t="shared" ref="C54:Q54" si="11">B54+C53</f>
        <v>-59296.19823</v>
      </c>
      <c r="D54" s="53">
        <f t="shared" si="11"/>
        <v>-54067.67594</v>
      </c>
      <c r="E54" s="53">
        <f t="shared" si="11"/>
        <v>-46331.23238</v>
      </c>
      <c r="F54" s="53">
        <f t="shared" si="11"/>
        <v>-36772.23233</v>
      </c>
      <c r="G54" s="53">
        <f t="shared" si="11"/>
        <v>-27213.23228</v>
      </c>
      <c r="H54" s="53">
        <f t="shared" si="11"/>
        <v>-17654.23223</v>
      </c>
      <c r="I54" s="53">
        <f t="shared" si="11"/>
        <v>-8202.647177</v>
      </c>
      <c r="J54" s="53">
        <f t="shared" si="11"/>
        <v>1248.937874</v>
      </c>
      <c r="K54" s="53">
        <f t="shared" si="11"/>
        <v>10700.52292</v>
      </c>
      <c r="L54" s="53">
        <f t="shared" si="11"/>
        <v>20152.10797</v>
      </c>
      <c r="M54" s="53">
        <f t="shared" si="11"/>
        <v>28174.50437</v>
      </c>
      <c r="N54" s="53">
        <f t="shared" si="11"/>
        <v>36196.90076</v>
      </c>
      <c r="O54" s="53">
        <f t="shared" si="11"/>
        <v>44219.29715</v>
      </c>
      <c r="P54" s="53">
        <f t="shared" si="11"/>
        <v>52241.69354</v>
      </c>
      <c r="Q54" s="53">
        <f t="shared" si="11"/>
        <v>60264.08993</v>
      </c>
    </row>
    <row r="55" ht="15.75" customHeight="1">
      <c r="A55" s="6" t="s">
        <v>1049</v>
      </c>
      <c r="B55" s="6"/>
      <c r="C55" s="27" t="str">
        <f>IF(AND(B54&lt;0,C54&gt;=0),0+(-B54)/C53,"")</f>
        <v/>
      </c>
      <c r="D55" s="27" t="str">
        <f>IF(AND(C54&lt;0,D54&gt;=0),1+(-C54)/D53,"")</f>
        <v/>
      </c>
      <c r="E55" s="27" t="str">
        <f>IF(AND(D54&lt;0,E54&gt;=0),2+(-D54)/E53,"")</f>
        <v/>
      </c>
      <c r="F55" s="27" t="str">
        <f>IF(AND(E54&lt;0,F54&gt;=0),3+(-E54)/F53,"")</f>
        <v/>
      </c>
      <c r="G55" s="27" t="str">
        <f>IF(AND(F54&lt;0,G54&gt;=0),4+(-F54)/G53,"")</f>
        <v/>
      </c>
      <c r="H55" s="27" t="str">
        <f>IF(AND(G54&lt;0,H54&gt;=0),5+(-G54)/H53,"")</f>
        <v/>
      </c>
      <c r="I55" s="27" t="str">
        <f>IF(AND(H54&lt;0,I54&gt;=0),6+(-H54)/I53,"")</f>
        <v/>
      </c>
      <c r="J55" s="27">
        <f>IF(AND(I54&lt;0,J54&gt;=0),7+(-I54)/J53,"")</f>
        <v>7.867859426</v>
      </c>
      <c r="K55" s="27" t="str">
        <f>IF(AND(J54&lt;0,K54&gt;=0),8+(-J54)/K53,"")</f>
        <v/>
      </c>
      <c r="L55" s="27" t="str">
        <f>IF(AND(K54&lt;0,L54&gt;=0),9+(-K54)/L53,"")</f>
        <v/>
      </c>
      <c r="M55" s="27" t="str">
        <f>IF(AND(L54&lt;0,M54&gt;=0),10+(-L54)/M53,"")</f>
        <v/>
      </c>
      <c r="N55" s="27" t="str">
        <f>IF(AND(M54&lt;0,N54&gt;=0),11+(-M54)/N53,"")</f>
        <v/>
      </c>
      <c r="O55" s="27" t="str">
        <f>IF(AND(N54&lt;0,O54&gt;=0),12+(-N54)/O53,"")</f>
        <v/>
      </c>
      <c r="P55" s="27" t="str">
        <f>IF(AND(O54&lt;0,P54&gt;=0),13+(-O54)/P53,"")</f>
        <v/>
      </c>
      <c r="Q55" s="27" t="str">
        <f>IF(AND(P54&lt;0,Q54&gt;=0),14+(-P54)/Q53,"")</f>
        <v/>
      </c>
    </row>
    <row r="56" ht="15.75" customHeight="1">
      <c r="A56" s="15" t="s">
        <v>273</v>
      </c>
      <c r="B56" s="95">
        <f>IF(COUNT(C55:Q55)=0,"oltre 15 anni: non rientra",MIN(C55:Q55))</f>
        <v>7.867859426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ht="15.75" customHeight="1">
      <c r="A58" s="67" t="s">
        <v>1086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ht="15.75" customHeight="1">
      <c r="A60" s="33" t="s">
        <v>1089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</row>
    <row r="61" ht="15.75" customHeight="1">
      <c r="A61" s="6" t="s">
        <v>1090</v>
      </c>
      <c r="B61" s="53"/>
      <c r="C61" s="53">
        <f t="shared" ref="C61:Q61" si="12">B66</f>
        <v>60311.69118</v>
      </c>
      <c r="D61" s="53">
        <f t="shared" si="12"/>
        <v>60311.69118</v>
      </c>
      <c r="E61" s="53">
        <f t="shared" si="12"/>
        <v>55993.47407</v>
      </c>
      <c r="F61" s="53">
        <f t="shared" si="12"/>
        <v>51363.09269</v>
      </c>
      <c r="G61" s="53">
        <f t="shared" si="12"/>
        <v>46397.98067</v>
      </c>
      <c r="H61" s="53">
        <f t="shared" si="12"/>
        <v>41073.94031</v>
      </c>
      <c r="I61" s="53">
        <f t="shared" si="12"/>
        <v>35365.02463</v>
      </c>
      <c r="J61" s="53">
        <f t="shared" si="12"/>
        <v>29243.41098</v>
      </c>
      <c r="K61" s="53">
        <f t="shared" si="12"/>
        <v>22679.26539</v>
      </c>
      <c r="L61" s="53">
        <f t="shared" si="12"/>
        <v>15640.59717</v>
      </c>
      <c r="M61" s="53">
        <f t="shared" si="12"/>
        <v>8093.103066</v>
      </c>
      <c r="N61" s="53">
        <f t="shared" si="12"/>
        <v>0</v>
      </c>
      <c r="O61" s="53">
        <f t="shared" si="12"/>
        <v>0</v>
      </c>
      <c r="P61" s="53">
        <f t="shared" si="12"/>
        <v>0</v>
      </c>
      <c r="Q61" s="53">
        <f t="shared" si="12"/>
        <v>0</v>
      </c>
    </row>
    <row r="62" ht="15.75" customHeight="1">
      <c r="A62" s="6" t="s">
        <v>1096</v>
      </c>
      <c r="B62" s="38">
        <v>0.0</v>
      </c>
      <c r="C62" s="38">
        <f t="shared" ref="C62:Q62" si="13">B62+12</f>
        <v>12</v>
      </c>
      <c r="D62" s="38">
        <f t="shared" si="13"/>
        <v>24</v>
      </c>
      <c r="E62" s="38">
        <f t="shared" si="13"/>
        <v>36</v>
      </c>
      <c r="F62" s="38">
        <f t="shared" si="13"/>
        <v>48</v>
      </c>
      <c r="G62" s="38">
        <f t="shared" si="13"/>
        <v>60</v>
      </c>
      <c r="H62" s="38">
        <f t="shared" si="13"/>
        <v>72</v>
      </c>
      <c r="I62" s="38">
        <f t="shared" si="13"/>
        <v>84</v>
      </c>
      <c r="J62" s="38">
        <f t="shared" si="13"/>
        <v>96</v>
      </c>
      <c r="K62" s="38">
        <f t="shared" si="13"/>
        <v>108</v>
      </c>
      <c r="L62" s="38">
        <f t="shared" si="13"/>
        <v>120</v>
      </c>
      <c r="M62" s="38">
        <f t="shared" si="13"/>
        <v>132</v>
      </c>
      <c r="N62" s="38">
        <f t="shared" si="13"/>
        <v>144</v>
      </c>
      <c r="O62" s="38">
        <f t="shared" si="13"/>
        <v>156</v>
      </c>
      <c r="P62" s="38">
        <f t="shared" si="13"/>
        <v>168</v>
      </c>
      <c r="Q62" s="38">
        <f t="shared" si="13"/>
        <v>180</v>
      </c>
    </row>
    <row r="63" ht="15.75" customHeight="1">
      <c r="A63" s="6" t="s">
        <v>1102</v>
      </c>
      <c r="B63" s="38"/>
      <c r="C63" s="38">
        <f>MAX(0,MIN(C62,Parametri!$C$104*12)-MIN(B62,Parametri!$C$104*12))</f>
        <v>12</v>
      </c>
      <c r="D63" s="38">
        <f>MAX(0,MIN(D62,Parametri!$C$104*12)-MIN(C62,Parametri!$C$104*12))</f>
        <v>0</v>
      </c>
      <c r="E63" s="38">
        <f>MAX(0,MIN(E62,Parametri!$C$104*12)-MIN(D62,Parametri!$C$104*12))</f>
        <v>0</v>
      </c>
      <c r="F63" s="38">
        <f>MAX(0,MIN(F62,Parametri!$C$104*12)-MIN(E62,Parametri!$C$104*12))</f>
        <v>0</v>
      </c>
      <c r="G63" s="38">
        <f>MAX(0,MIN(G62,Parametri!$C$104*12)-MIN(F62,Parametri!$C$104*12))</f>
        <v>0</v>
      </c>
      <c r="H63" s="38">
        <f>MAX(0,MIN(H62,Parametri!$C$104*12)-MIN(G62,Parametri!$C$104*12))</f>
        <v>0</v>
      </c>
      <c r="I63" s="38">
        <f>MAX(0,MIN(I62,Parametri!$C$104*12)-MIN(H62,Parametri!$C$104*12))</f>
        <v>0</v>
      </c>
      <c r="J63" s="38">
        <f>MAX(0,MIN(J62,Parametri!$C$104*12)-MIN(I62,Parametri!$C$104*12))</f>
        <v>0</v>
      </c>
      <c r="K63" s="38">
        <f>MAX(0,MIN(K62,Parametri!$C$104*12)-MIN(J62,Parametri!$C$104*12))</f>
        <v>0</v>
      </c>
      <c r="L63" s="38">
        <f>MAX(0,MIN(L62,Parametri!$C$104*12)-MIN(K62,Parametri!$C$104*12))</f>
        <v>0</v>
      </c>
      <c r="M63" s="38">
        <f>MAX(0,MIN(M62,Parametri!$C$104*12)-MIN(L62,Parametri!$C$104*12))</f>
        <v>0</v>
      </c>
      <c r="N63" s="38">
        <f>MAX(0,MIN(N62,Parametri!$C$104*12)-MIN(M62,Parametri!$C$104*12))</f>
        <v>0</v>
      </c>
      <c r="O63" s="38">
        <f>MAX(0,MIN(O62,Parametri!$C$104*12)-MIN(N62,Parametri!$C$104*12))</f>
        <v>0</v>
      </c>
      <c r="P63" s="38">
        <f>MAX(0,MIN(P62,Parametri!$C$104*12)-MIN(O62,Parametri!$C$104*12))</f>
        <v>0</v>
      </c>
      <c r="Q63" s="38">
        <f>MAX(0,MIN(Q62,Parametri!$C$104*12)-MIN(P62,Parametri!$C$104*12))</f>
        <v>0</v>
      </c>
    </row>
    <row r="64" ht="15.75" customHeight="1">
      <c r="A64" s="6" t="s">
        <v>1130</v>
      </c>
      <c r="B64" s="38">
        <v>0.0</v>
      </c>
      <c r="C64" s="38">
        <f>MIN(Parametri!$C$103*12,MAX(0,C62-Parametri!$C$104*12))</f>
        <v>0</v>
      </c>
      <c r="D64" s="38">
        <f>MIN(Parametri!$C$103*12,MAX(0,D62-Parametri!$C$104*12))</f>
        <v>12</v>
      </c>
      <c r="E64" s="38">
        <f>MIN(Parametri!$C$103*12,MAX(0,E62-Parametri!$C$104*12))</f>
        <v>24</v>
      </c>
      <c r="F64" s="38">
        <f>MIN(Parametri!$C$103*12,MAX(0,F62-Parametri!$C$104*12))</f>
        <v>36</v>
      </c>
      <c r="G64" s="38">
        <f>MIN(Parametri!$C$103*12,MAX(0,G62-Parametri!$C$104*12))</f>
        <v>48</v>
      </c>
      <c r="H64" s="38">
        <f>MIN(Parametri!$C$103*12,MAX(0,H62-Parametri!$C$104*12))</f>
        <v>60</v>
      </c>
      <c r="I64" s="38">
        <f>MIN(Parametri!$C$103*12,MAX(0,I62-Parametri!$C$104*12))</f>
        <v>72</v>
      </c>
      <c r="J64" s="38">
        <f>MIN(Parametri!$C$103*12,MAX(0,J62-Parametri!$C$104*12))</f>
        <v>84</v>
      </c>
      <c r="K64" s="38">
        <f>MIN(Parametri!$C$103*12,MAX(0,K62-Parametri!$C$104*12))</f>
        <v>96</v>
      </c>
      <c r="L64" s="38">
        <f>MIN(Parametri!$C$103*12,MAX(0,L62-Parametri!$C$104*12))</f>
        <v>108</v>
      </c>
      <c r="M64" s="38">
        <f>MIN(Parametri!$C$103*12,MAX(0,M62-Parametri!$C$104*12))</f>
        <v>120</v>
      </c>
      <c r="N64" s="38">
        <f>MIN(Parametri!$C$103*12,MAX(0,N62-Parametri!$C$104*12))</f>
        <v>120</v>
      </c>
      <c r="O64" s="38">
        <f>MIN(Parametri!$C$103*12,MAX(0,O62-Parametri!$C$104*12))</f>
        <v>120</v>
      </c>
      <c r="P64" s="38">
        <f>MIN(Parametri!$C$103*12,MAX(0,P62-Parametri!$C$104*12))</f>
        <v>120</v>
      </c>
      <c r="Q64" s="38">
        <f>MIN(Parametri!$C$103*12,MAX(0,Q62-Parametri!$C$104*12))</f>
        <v>120</v>
      </c>
    </row>
    <row r="65" ht="15.75" customHeight="1">
      <c r="A65" s="6" t="s">
        <v>1150</v>
      </c>
      <c r="B65" s="53"/>
      <c r="C65" s="53">
        <f t="shared" ref="C65:Q65" si="14">C61-C66</f>
        <v>0</v>
      </c>
      <c r="D65" s="53">
        <f t="shared" si="14"/>
        <v>4318.217109</v>
      </c>
      <c r="E65" s="53">
        <f t="shared" si="14"/>
        <v>4630.381373</v>
      </c>
      <c r="F65" s="53">
        <f t="shared" si="14"/>
        <v>4965.112017</v>
      </c>
      <c r="G65" s="53">
        <f t="shared" si="14"/>
        <v>5324.040367</v>
      </c>
      <c r="H65" s="53">
        <f t="shared" si="14"/>
        <v>5708.915675</v>
      </c>
      <c r="I65" s="53">
        <f t="shared" si="14"/>
        <v>6121.613651</v>
      </c>
      <c r="J65" s="53">
        <f t="shared" si="14"/>
        <v>6564.145597</v>
      </c>
      <c r="K65" s="53">
        <f t="shared" si="14"/>
        <v>7038.668213</v>
      </c>
      <c r="L65" s="53">
        <f t="shared" si="14"/>
        <v>7547.494107</v>
      </c>
      <c r="M65" s="53">
        <f t="shared" si="14"/>
        <v>8093.103066</v>
      </c>
      <c r="N65" s="53">
        <f t="shared" si="14"/>
        <v>0</v>
      </c>
      <c r="O65" s="53">
        <f t="shared" si="14"/>
        <v>0</v>
      </c>
      <c r="P65" s="53">
        <f t="shared" si="14"/>
        <v>0</v>
      </c>
      <c r="Q65" s="53">
        <f t="shared" si="14"/>
        <v>0</v>
      </c>
    </row>
    <row r="66" ht="15.75" customHeight="1">
      <c r="A66" s="5" t="s">
        <v>1157</v>
      </c>
      <c r="B66" s="23">
        <f>Parametri!$C$101</f>
        <v>60311.69118</v>
      </c>
      <c r="C66" s="68">
        <f>IF(C64=0,Parametri!$C$101,MAX(0,-FV(Parametri!$C$102/12,C64,-Parametri!$C$105,Parametri!$C$101)))</f>
        <v>60311.69118</v>
      </c>
      <c r="D66" s="68">
        <f>IF(D64=0,Parametri!$C$101,MAX(0,-FV(Parametri!$C$102/12,D64,-Parametri!$C$105,Parametri!$C$101)))</f>
        <v>55993.47407</v>
      </c>
      <c r="E66" s="68">
        <f>IF(E64=0,Parametri!$C$101,MAX(0,-FV(Parametri!$C$102/12,E64,-Parametri!$C$105,Parametri!$C$101)))</f>
        <v>51363.09269</v>
      </c>
      <c r="F66" s="68">
        <f>IF(F64=0,Parametri!$C$101,MAX(0,-FV(Parametri!$C$102/12,F64,-Parametri!$C$105,Parametri!$C$101)))</f>
        <v>46397.98067</v>
      </c>
      <c r="G66" s="68">
        <f>IF(G64=0,Parametri!$C$101,MAX(0,-FV(Parametri!$C$102/12,G64,-Parametri!$C$105,Parametri!$C$101)))</f>
        <v>41073.94031</v>
      </c>
      <c r="H66" s="68">
        <f>IF(H64=0,Parametri!$C$101,MAX(0,-FV(Parametri!$C$102/12,H64,-Parametri!$C$105,Parametri!$C$101)))</f>
        <v>35365.02463</v>
      </c>
      <c r="I66" s="68">
        <f>IF(I64=0,Parametri!$C$101,MAX(0,-FV(Parametri!$C$102/12,I64,-Parametri!$C$105,Parametri!$C$101)))</f>
        <v>29243.41098</v>
      </c>
      <c r="J66" s="68">
        <f>IF(J64=0,Parametri!$C$101,MAX(0,-FV(Parametri!$C$102/12,J64,-Parametri!$C$105,Parametri!$C$101)))</f>
        <v>22679.26539</v>
      </c>
      <c r="K66" s="68">
        <f>IF(K64=0,Parametri!$C$101,MAX(0,-FV(Parametri!$C$102/12,K64,-Parametri!$C$105,Parametri!$C$101)))</f>
        <v>15640.59717</v>
      </c>
      <c r="L66" s="68">
        <f>IF(L64=0,Parametri!$C$101,MAX(0,-FV(Parametri!$C$102/12,L64,-Parametri!$C$105,Parametri!$C$101)))</f>
        <v>8093.103066</v>
      </c>
      <c r="M66" s="68">
        <f>IF(M64=0,Parametri!$C$101,MAX(0,-FV(Parametri!$C$102/12,M64,-Parametri!$C$105,Parametri!$C$101)))</f>
        <v>0</v>
      </c>
      <c r="N66" s="68">
        <f>IF(N64=0,Parametri!$C$101,MAX(0,-FV(Parametri!$C$102/12,N64,-Parametri!$C$105,Parametri!$C$101)))</f>
        <v>0</v>
      </c>
      <c r="O66" s="68">
        <f>IF(O64=0,Parametri!$C$101,MAX(0,-FV(Parametri!$C$102/12,O64,-Parametri!$C$105,Parametri!$C$101)))</f>
        <v>0</v>
      </c>
      <c r="P66" s="68">
        <f>IF(P64=0,Parametri!$C$101,MAX(0,-FV(Parametri!$C$102/12,P64,-Parametri!$C$105,Parametri!$C$101)))</f>
        <v>0</v>
      </c>
      <c r="Q66" s="68">
        <f>IF(Q64=0,Parametri!$C$101,MAX(0,-FV(Parametri!$C$102/12,Q64,-Parametri!$C$105,Parametri!$C$101)))</f>
        <v>0</v>
      </c>
    </row>
    <row r="67" ht="15.75" customHeight="1">
      <c r="A67" s="6" t="s">
        <v>1190</v>
      </c>
      <c r="B67" s="53"/>
      <c r="C67" s="53">
        <f>C63*Parametri!$C$101*Parametri!$C$102/12+Parametri!$C$105*(C64-B64)-C65</f>
        <v>4221.818382</v>
      </c>
      <c r="D67" s="53">
        <f>D63*Parametri!$C$101*Parametri!$C$102/12+Parametri!$C$105*(D64-C64)-D65</f>
        <v>4085.02138</v>
      </c>
      <c r="E67" s="53">
        <f>E63*Parametri!$C$101*Parametri!$C$102/12+Parametri!$C$105*(E64-D64)-E65</f>
        <v>3772.857116</v>
      </c>
      <c r="F67" s="53">
        <f>F63*Parametri!$C$101*Parametri!$C$102/12+Parametri!$C$105*(F64-E64)-F65</f>
        <v>3438.126472</v>
      </c>
      <c r="G67" s="53">
        <f>G63*Parametri!$C$101*Parametri!$C$102/12+Parametri!$C$105*(G64-F64)-G65</f>
        <v>3079.198123</v>
      </c>
      <c r="H67" s="53">
        <f>H63*Parametri!$C$101*Parametri!$C$102/12+Parametri!$C$105*(H64-G64)-H65</f>
        <v>2694.322815</v>
      </c>
      <c r="I67" s="53">
        <f>I63*Parametri!$C$101*Parametri!$C$102/12+Parametri!$C$105*(I64-H64)-I65</f>
        <v>2281.624839</v>
      </c>
      <c r="J67" s="53">
        <f>J63*Parametri!$C$101*Parametri!$C$102/12+Parametri!$C$105*(J64-I64)-J65</f>
        <v>1839.092893</v>
      </c>
      <c r="K67" s="53">
        <f>K63*Parametri!$C$101*Parametri!$C$102/12+Parametri!$C$105*(K64-J64)-K65</f>
        <v>1364.570277</v>
      </c>
      <c r="L67" s="53">
        <f>L63*Parametri!$C$101*Parametri!$C$102/12+Parametri!$C$105*(L64-K64)-L65</f>
        <v>855.7443829</v>
      </c>
      <c r="M67" s="53">
        <f>M63*Parametri!$C$101*Parametri!$C$102/12+Parametri!$C$105*(M64-L64)-M65</f>
        <v>310.1354237</v>
      </c>
      <c r="N67" s="53">
        <f>N63*Parametri!$C$101*Parametri!$C$102/12+Parametri!$C$105*(N64-M64)-N65</f>
        <v>0</v>
      </c>
      <c r="O67" s="53">
        <f>O63*Parametri!$C$101*Parametri!$C$102/12+Parametri!$C$105*(O64-N64)-O65</f>
        <v>0</v>
      </c>
      <c r="P67" s="53">
        <f>P63*Parametri!$C$101*Parametri!$C$102/12+Parametri!$C$105*(P64-O64)-P65</f>
        <v>0</v>
      </c>
      <c r="Q67" s="53">
        <f>Q63*Parametri!$C$101*Parametri!$C$102/12+Parametri!$C$105*(Q64-P64)-Q65</f>
        <v>0</v>
      </c>
    </row>
    <row r="68" ht="15.75" customHeight="1">
      <c r="A68" s="5" t="s">
        <v>1191</v>
      </c>
      <c r="B68" s="68"/>
      <c r="C68" s="68">
        <f t="shared" ref="C68:Q68" si="15">C65+C67</f>
        <v>4221.818382</v>
      </c>
      <c r="D68" s="68">
        <f t="shared" si="15"/>
        <v>8403.23849</v>
      </c>
      <c r="E68" s="68">
        <f t="shared" si="15"/>
        <v>8403.23849</v>
      </c>
      <c r="F68" s="68">
        <f t="shared" si="15"/>
        <v>8403.23849</v>
      </c>
      <c r="G68" s="68">
        <f t="shared" si="15"/>
        <v>8403.23849</v>
      </c>
      <c r="H68" s="68">
        <f t="shared" si="15"/>
        <v>8403.23849</v>
      </c>
      <c r="I68" s="68">
        <f t="shared" si="15"/>
        <v>8403.23849</v>
      </c>
      <c r="J68" s="68">
        <f t="shared" si="15"/>
        <v>8403.23849</v>
      </c>
      <c r="K68" s="68">
        <f t="shared" si="15"/>
        <v>8403.23849</v>
      </c>
      <c r="L68" s="68">
        <f t="shared" si="15"/>
        <v>8403.23849</v>
      </c>
      <c r="M68" s="68">
        <f t="shared" si="15"/>
        <v>8403.23849</v>
      </c>
      <c r="N68" s="68">
        <f t="shared" si="15"/>
        <v>0</v>
      </c>
      <c r="O68" s="68">
        <f t="shared" si="15"/>
        <v>0</v>
      </c>
      <c r="P68" s="68">
        <f t="shared" si="15"/>
        <v>0</v>
      </c>
      <c r="Q68" s="68">
        <f t="shared" si="15"/>
        <v>0</v>
      </c>
    </row>
    <row r="69" ht="15.75" customHeight="1">
      <c r="A69" s="6" t="s">
        <v>1192</v>
      </c>
      <c r="B69" s="53"/>
      <c r="C69" s="53">
        <f>IF(Parametri!$C$64=1,C46,MAX(0,C45-C67)*Parametri!$C$68+MAX(0,C45)*Parametri!$C$69)</f>
        <v>0</v>
      </c>
      <c r="D69" s="53">
        <f>IF(Parametri!$C$64=1,D46,MAX(0,D45-D67)*Parametri!$C$68+MAX(0,D45)*Parametri!$C$69)</f>
        <v>0</v>
      </c>
      <c r="E69" s="53">
        <f>IF(Parametri!$C$64=1,E46,MAX(0,E45-E67)*Parametri!$C$68+MAX(0,E45)*Parametri!$C$69)</f>
        <v>120.5648248</v>
      </c>
      <c r="F69" s="53">
        <f>IF(Parametri!$C$64=1,F46,MAX(0,F45-F67)*Parametri!$C$68+MAX(0,F45)*Parametri!$C$69)</f>
        <v>742.6129671</v>
      </c>
      <c r="G69" s="53">
        <f>IF(Parametri!$C$64=1,G46,MAX(0,G45-G67)*Parametri!$C$68+MAX(0,G45)*Parametri!$C$69)</f>
        <v>828.7557709</v>
      </c>
      <c r="H69" s="53">
        <f>IF(Parametri!$C$64=1,H46,MAX(0,H45-H67)*Parametri!$C$68+MAX(0,H45)*Parametri!$C$69)</f>
        <v>921.125845</v>
      </c>
      <c r="I69" s="53">
        <f>IF(Parametri!$C$64=1,I46,MAX(0,I45-I67)*Parametri!$C$68+MAX(0,I45)*Parametri!$C$69)</f>
        <v>1127.588359</v>
      </c>
      <c r="J69" s="53">
        <f>IF(Parametri!$C$64=1,J46,MAX(0,J45-J67)*Parametri!$C$68+MAX(0,J45)*Parametri!$C$69)</f>
        <v>1233.796026</v>
      </c>
      <c r="K69" s="53">
        <f>IF(Parametri!$C$64=1,K46,MAX(0,K45-K67)*Parametri!$C$68+MAX(0,K45)*Parametri!$C$69)</f>
        <v>1347.681454</v>
      </c>
      <c r="L69" s="53">
        <f>IF(Parametri!$C$64=1,L46,MAX(0,L45-L67)*Parametri!$C$68+MAX(0,L45)*Parametri!$C$69)</f>
        <v>1469.799669</v>
      </c>
      <c r="M69" s="53">
        <f>IF(Parametri!$C$64=1,M46,MAX(0,M45-M67)*Parametri!$C$68+MAX(0,M45)*Parametri!$C$69)</f>
        <v>3029.934479</v>
      </c>
      <c r="N69" s="53">
        <f>IF(Parametri!$C$64=1,N46,MAX(0,N45-N67)*Parametri!$C$68+MAX(0,N45)*Parametri!$C$69)</f>
        <v>3104.366981</v>
      </c>
      <c r="O69" s="53">
        <f>IF(Parametri!$C$64=1,O46,MAX(0,O45-O67)*Parametri!$C$68+MAX(0,O45)*Parametri!$C$69)</f>
        <v>3104.366981</v>
      </c>
      <c r="P69" s="53">
        <f>IF(Parametri!$C$64=1,P46,MAX(0,P45-P67)*Parametri!$C$68+MAX(0,P45)*Parametri!$C$69)</f>
        <v>3104.366981</v>
      </c>
      <c r="Q69" s="53">
        <f>IF(Parametri!$C$64=1,Q46,MAX(0,Q45-Q67)*Parametri!$C$68+MAX(0,Q45)*Parametri!$C$69)</f>
        <v>3104.366981</v>
      </c>
    </row>
    <row r="70" ht="15.75" customHeight="1">
      <c r="A70" s="6" t="s">
        <v>1193</v>
      </c>
      <c r="B70" s="53"/>
      <c r="C70" s="53">
        <f t="shared" ref="C70:Q70" si="16">C45-C67-C69</f>
        <v>-8713.865434</v>
      </c>
      <c r="D70" s="53">
        <f t="shared" si="16"/>
        <v>-4364.039089</v>
      </c>
      <c r="E70" s="53">
        <f t="shared" si="16"/>
        <v>-802.0161758</v>
      </c>
      <c r="F70" s="53">
        <f t="shared" si="16"/>
        <v>1438.483931</v>
      </c>
      <c r="G70" s="53">
        <f t="shared" si="16"/>
        <v>1711.269477</v>
      </c>
      <c r="H70" s="53">
        <f t="shared" si="16"/>
        <v>2003.774711</v>
      </c>
      <c r="I70" s="53">
        <f t="shared" si="16"/>
        <v>2595.010173</v>
      </c>
      <c r="J70" s="53">
        <f t="shared" si="16"/>
        <v>2931.334452</v>
      </c>
      <c r="K70" s="53">
        <f t="shared" si="16"/>
        <v>3291.97164</v>
      </c>
      <c r="L70" s="53">
        <f t="shared" si="16"/>
        <v>3678.679319</v>
      </c>
      <c r="M70" s="53">
        <f t="shared" si="16"/>
        <v>7786.693469</v>
      </c>
      <c r="N70" s="53">
        <f t="shared" si="16"/>
        <v>8022.39639</v>
      </c>
      <c r="O70" s="53">
        <f t="shared" si="16"/>
        <v>8022.39639</v>
      </c>
      <c r="P70" s="53">
        <f t="shared" si="16"/>
        <v>8022.39639</v>
      </c>
      <c r="Q70" s="53">
        <f t="shared" si="16"/>
        <v>8022.39639</v>
      </c>
    </row>
    <row r="71" ht="15.75" customHeight="1">
      <c r="A71" s="5" t="s">
        <v>1194</v>
      </c>
      <c r="B71" s="68"/>
      <c r="C71" s="68">
        <f t="shared" ref="C71:Q71" si="17">C70+C44-C65</f>
        <v>-3206.325434</v>
      </c>
      <c r="D71" s="68">
        <f t="shared" si="17"/>
        <v>-3174.716199</v>
      </c>
      <c r="E71" s="68">
        <f t="shared" si="17"/>
        <v>75.14245075</v>
      </c>
      <c r="F71" s="68">
        <f t="shared" si="17"/>
        <v>1980.911914</v>
      </c>
      <c r="G71" s="68">
        <f t="shared" si="17"/>
        <v>1894.76911</v>
      </c>
      <c r="H71" s="68">
        <f t="shared" si="17"/>
        <v>1802.399036</v>
      </c>
      <c r="I71" s="68">
        <f t="shared" si="17"/>
        <v>1595.936522</v>
      </c>
      <c r="J71" s="68">
        <f t="shared" si="17"/>
        <v>1489.728855</v>
      </c>
      <c r="K71" s="68">
        <f t="shared" si="17"/>
        <v>1375.843427</v>
      </c>
      <c r="L71" s="68">
        <f t="shared" si="17"/>
        <v>1253.725213</v>
      </c>
      <c r="M71" s="68">
        <f t="shared" si="17"/>
        <v>-306.4095976</v>
      </c>
      <c r="N71" s="68">
        <f t="shared" si="17"/>
        <v>8022.39639</v>
      </c>
      <c r="O71" s="68">
        <f t="shared" si="17"/>
        <v>8022.39639</v>
      </c>
      <c r="P71" s="68">
        <f t="shared" si="17"/>
        <v>8022.39639</v>
      </c>
      <c r="Q71" s="68">
        <f t="shared" si="17"/>
        <v>8022.39639</v>
      </c>
    </row>
    <row r="72" ht="15.75" customHeight="1">
      <c r="A72" s="6" t="s">
        <v>1195</v>
      </c>
      <c r="B72" s="100"/>
      <c r="C72" s="100">
        <f t="shared" ref="C72:Q72" si="18">IF(C68&gt;0,(C43-C69)/C68,"")</f>
        <v>0.240534494</v>
      </c>
      <c r="D72" s="100">
        <f t="shared" si="18"/>
        <v>0.6222032491</v>
      </c>
      <c r="E72" s="100">
        <f t="shared" si="18"/>
        <v>1.008942082</v>
      </c>
      <c r="F72" s="100">
        <f t="shared" si="18"/>
        <v>1.235731964</v>
      </c>
      <c r="G72" s="100">
        <f t="shared" si="18"/>
        <v>1.225480821</v>
      </c>
      <c r="H72" s="100">
        <f t="shared" si="18"/>
        <v>1.214488621</v>
      </c>
      <c r="I72" s="100">
        <f t="shared" si="18"/>
        <v>1.189919223</v>
      </c>
      <c r="J72" s="100">
        <f t="shared" si="18"/>
        <v>1.177280326</v>
      </c>
      <c r="K72" s="100">
        <f t="shared" si="18"/>
        <v>1.163727761</v>
      </c>
      <c r="L72" s="100">
        <f t="shared" si="18"/>
        <v>1.149195481</v>
      </c>
      <c r="M72" s="100">
        <f t="shared" si="18"/>
        <v>0.9635367248</v>
      </c>
      <c r="N72" s="100" t="str">
        <f t="shared" si="18"/>
        <v/>
      </c>
      <c r="O72" s="100" t="str">
        <f t="shared" si="18"/>
        <v/>
      </c>
      <c r="P72" s="100" t="str">
        <f t="shared" si="18"/>
        <v/>
      </c>
      <c r="Q72" s="100" t="str">
        <f t="shared" si="18"/>
        <v/>
      </c>
    </row>
    <row r="73" ht="15.75" customHeight="1">
      <c r="A73" s="5" t="s">
        <v>1196</v>
      </c>
      <c r="B73" s="23">
        <f>-('Impianto e costi'!$G$73-Parametri!$C$101)</f>
        <v>0</v>
      </c>
      <c r="C73" s="68">
        <f t="shared" ref="C73:Q73" si="19">C71</f>
        <v>-3206.325434</v>
      </c>
      <c r="D73" s="68">
        <f t="shared" si="19"/>
        <v>-3174.716199</v>
      </c>
      <c r="E73" s="68">
        <f t="shared" si="19"/>
        <v>75.14245075</v>
      </c>
      <c r="F73" s="68">
        <f t="shared" si="19"/>
        <v>1980.911914</v>
      </c>
      <c r="G73" s="68">
        <f t="shared" si="19"/>
        <v>1894.76911</v>
      </c>
      <c r="H73" s="68">
        <f t="shared" si="19"/>
        <v>1802.399036</v>
      </c>
      <c r="I73" s="68">
        <f t="shared" si="19"/>
        <v>1595.936522</v>
      </c>
      <c r="J73" s="68">
        <f t="shared" si="19"/>
        <v>1489.728855</v>
      </c>
      <c r="K73" s="68">
        <f t="shared" si="19"/>
        <v>1375.843427</v>
      </c>
      <c r="L73" s="68">
        <f t="shared" si="19"/>
        <v>1253.725213</v>
      </c>
      <c r="M73" s="68">
        <f t="shared" si="19"/>
        <v>-306.4095976</v>
      </c>
      <c r="N73" s="68">
        <f t="shared" si="19"/>
        <v>8022.39639</v>
      </c>
      <c r="O73" s="68">
        <f t="shared" si="19"/>
        <v>8022.39639</v>
      </c>
      <c r="P73" s="68">
        <f t="shared" si="19"/>
        <v>8022.39639</v>
      </c>
      <c r="Q73" s="68">
        <f t="shared" si="19"/>
        <v>8022.39639</v>
      </c>
    </row>
    <row r="74" ht="15.75" customHeight="1">
      <c r="A74" s="6" t="s">
        <v>1197</v>
      </c>
      <c r="B74" s="53">
        <f>B73</f>
        <v>0</v>
      </c>
      <c r="C74" s="53">
        <f t="shared" ref="C74:Q74" si="20">B74+C73</f>
        <v>-3206.325434</v>
      </c>
      <c r="D74" s="53">
        <f t="shared" si="20"/>
        <v>-6381.041632</v>
      </c>
      <c r="E74" s="53">
        <f t="shared" si="20"/>
        <v>-6305.899182</v>
      </c>
      <c r="F74" s="53">
        <f t="shared" si="20"/>
        <v>-4324.987268</v>
      </c>
      <c r="G74" s="53">
        <f t="shared" si="20"/>
        <v>-2430.218157</v>
      </c>
      <c r="H74" s="53">
        <f t="shared" si="20"/>
        <v>-627.8191211</v>
      </c>
      <c r="I74" s="53">
        <f t="shared" si="20"/>
        <v>968.117401</v>
      </c>
      <c r="J74" s="53">
        <f t="shared" si="20"/>
        <v>2457.846256</v>
      </c>
      <c r="K74" s="53">
        <f t="shared" si="20"/>
        <v>3833.689683</v>
      </c>
      <c r="L74" s="53">
        <f t="shared" si="20"/>
        <v>5087.414896</v>
      </c>
      <c r="M74" s="53">
        <f t="shared" si="20"/>
        <v>4781.005298</v>
      </c>
      <c r="N74" s="53">
        <f t="shared" si="20"/>
        <v>12803.40169</v>
      </c>
      <c r="O74" s="53">
        <f t="shared" si="20"/>
        <v>20825.79808</v>
      </c>
      <c r="P74" s="53">
        <f t="shared" si="20"/>
        <v>28848.19447</v>
      </c>
      <c r="Q74" s="53">
        <f t="shared" si="20"/>
        <v>36870.59086</v>
      </c>
    </row>
    <row r="75" ht="15.75" customHeight="1">
      <c r="A75" s="6" t="s">
        <v>1049</v>
      </c>
      <c r="B75" s="27"/>
      <c r="C75" s="27" t="str">
        <f>IF(AND(B74&lt;0,C74&gt;=0),0+(-B74)/C73,"")</f>
        <v/>
      </c>
      <c r="D75" s="27" t="str">
        <f>IF(AND(C74&lt;0,D74&gt;=0),1+(-C74)/D73,"")</f>
        <v/>
      </c>
      <c r="E75" s="27" t="str">
        <f>IF(AND(D74&lt;0,E74&gt;=0),2+(-D74)/E73,"")</f>
        <v/>
      </c>
      <c r="F75" s="27" t="str">
        <f>IF(AND(E74&lt;0,F74&gt;=0),3+(-E74)/F73,"")</f>
        <v/>
      </c>
      <c r="G75" s="27" t="str">
        <f>IF(AND(F74&lt;0,G74&gt;=0),4+(-F74)/G73,"")</f>
        <v/>
      </c>
      <c r="H75" s="27" t="str">
        <f>IF(AND(G74&lt;0,H74&gt;=0),5+(-G74)/H73,"")</f>
        <v/>
      </c>
      <c r="I75" s="27">
        <f>IF(AND(H74&lt;0,I74&gt;=0),6+(-H74)/I73,"")</f>
        <v>6.393386023</v>
      </c>
      <c r="J75" s="27" t="str">
        <f>IF(AND(I74&lt;0,J74&gt;=0),7+(-I74)/J73,"")</f>
        <v/>
      </c>
      <c r="K75" s="27" t="str">
        <f>IF(AND(J74&lt;0,K74&gt;=0),8+(-J74)/K73,"")</f>
        <v/>
      </c>
      <c r="L75" s="27" t="str">
        <f>IF(AND(K74&lt;0,L74&gt;=0),9+(-K74)/L73,"")</f>
        <v/>
      </c>
      <c r="M75" s="27" t="str">
        <f>IF(AND(L74&lt;0,M74&gt;=0),10+(-L74)/M73,"")</f>
        <v/>
      </c>
      <c r="N75" s="27" t="str">
        <f>IF(AND(M74&lt;0,N74&gt;=0),11+(-M74)/N73,"")</f>
        <v/>
      </c>
      <c r="O75" s="27" t="str">
        <f>IF(AND(N74&lt;0,O74&gt;=0),12+(-N74)/O73,"")</f>
        <v/>
      </c>
      <c r="P75" s="27" t="str">
        <f>IF(AND(O74&lt;0,P74&gt;=0),13+(-O74)/P73,"")</f>
        <v/>
      </c>
      <c r="Q75" s="27" t="str">
        <f>IF(AND(P74&lt;0,Q74&gt;=0),14+(-P74)/Q73,"")</f>
        <v/>
      </c>
    </row>
    <row r="76" ht="15.75" customHeight="1">
      <c r="A76" s="15" t="s">
        <v>1198</v>
      </c>
      <c r="B76" s="95">
        <f>IF(COUNT(C75:Q75)=0,IF(MIN(B74:Q74)&gt;=0,"nessun capitale a rischio","oltre 15 anni: non rientra"),MIN(C75:Q75))</f>
        <v>6.393386023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ht="15.75" customHeight="1">
      <c r="A77" s="6" t="s">
        <v>1199</v>
      </c>
      <c r="B77" s="53">
        <f>MAX(0,-MIN(B74:Q74))</f>
        <v>6381.041632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ht="15.75" customHeight="1">
      <c r="A78" s="6" t="s">
        <v>1200</v>
      </c>
      <c r="B78" s="53">
        <f>SUM(C67:Q67)</f>
        <v>27942.5121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ht="15.75" customHeight="1">
      <c r="A79" s="67" t="s">
        <v>1201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2.0"/>
    <col customWidth="1" min="2" max="2" width="10.0"/>
    <col customWidth="1" min="3" max="3" width="26.0"/>
    <col customWidth="1" min="4" max="4" width="70.0"/>
    <col customWidth="1" min="5" max="6" width="8.71"/>
  </cols>
  <sheetData>
    <row r="1" ht="18.0" customHeight="1">
      <c r="A1" s="1" t="s">
        <v>777</v>
      </c>
      <c r="B1" s="2"/>
      <c r="C1" s="2"/>
      <c r="D1" s="2"/>
      <c r="E1" s="2"/>
      <c r="F1" s="2"/>
    </row>
    <row r="2" ht="15.0" customHeight="1">
      <c r="A2" s="3" t="s">
        <v>778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 ht="15.0" customHeight="1">
      <c r="A4" s="4" t="s">
        <v>154</v>
      </c>
      <c r="B4" s="4" t="s">
        <v>9</v>
      </c>
      <c r="C4" s="4" t="s">
        <v>779</v>
      </c>
      <c r="D4" s="4" t="s">
        <v>501</v>
      </c>
      <c r="E4" s="2"/>
      <c r="F4" s="2"/>
    </row>
    <row r="5" ht="15.0" customHeight="1">
      <c r="A5" s="6" t="s">
        <v>780</v>
      </c>
      <c r="B5" s="8" t="s">
        <v>372</v>
      </c>
      <c r="C5" s="45">
        <f>Parametri!$C$26*Parametri!$C$36+Parametri!$C$27*Parametri!$C$37/Parametri!$C$38</f>
        <v>4.414864115</v>
      </c>
      <c r="D5" s="6" t="s">
        <v>781</v>
      </c>
      <c r="E5" s="2"/>
      <c r="F5" s="2"/>
    </row>
    <row r="6" ht="15.0" customHeight="1">
      <c r="A6" s="6" t="s">
        <v>782</v>
      </c>
      <c r="B6" s="8" t="s">
        <v>372</v>
      </c>
      <c r="C6" s="45">
        <f>((Parametri!$C$45+Parametri!$C$46)/100+Parametri!$C$48*Parametri!$C$49/100+Parametri!$C$50*Parametri!$C$51/100)/(1-Parametri!$C$28)</f>
        <v>0.715625</v>
      </c>
      <c r="D6" s="6" t="s">
        <v>783</v>
      </c>
      <c r="E6" s="2"/>
      <c r="F6" s="2"/>
    </row>
    <row r="7" ht="15.0" customHeight="1">
      <c r="A7" s="6" t="s">
        <v>784</v>
      </c>
      <c r="B7" s="8" t="s">
        <v>372</v>
      </c>
      <c r="C7" s="45">
        <f>Parametri!$C$27/Parametri!$C$38*(Parametri!$C$52+Parametri!$C$53+Parametri!$C$54+Parametri!$C$55+Parametri!$C$56)+Parametri!$C$26*Parametri!$C$57/100</f>
        <v>0.2283416528</v>
      </c>
      <c r="D7" s="6"/>
      <c r="E7" s="2"/>
      <c r="F7" s="2"/>
    </row>
    <row r="8" ht="15.0" customHeight="1">
      <c r="A8" s="6" t="s">
        <v>785</v>
      </c>
      <c r="B8" s="8" t="s">
        <v>372</v>
      </c>
      <c r="C8" s="45">
        <f>Parametri!$C$47*Parametri!$C$62*(1-Parametri!$C$63)/100</f>
        <v>0.244956</v>
      </c>
      <c r="D8" s="6" t="s">
        <v>787</v>
      </c>
      <c r="E8" s="2"/>
      <c r="F8" s="2"/>
    </row>
    <row r="9" ht="15.0" customHeight="1">
      <c r="A9" s="6" t="s">
        <v>788</v>
      </c>
      <c r="B9" s="8" t="s">
        <v>372</v>
      </c>
      <c r="C9" s="45">
        <f>C5*Parametri!$C$58</f>
        <v>0.1103716029</v>
      </c>
      <c r="D9" s="6"/>
      <c r="E9" s="2"/>
      <c r="F9" s="2"/>
    </row>
    <row r="10" ht="15.0" customHeight="1">
      <c r="A10" s="6" t="s">
        <v>789</v>
      </c>
      <c r="B10" s="8" t="s">
        <v>372</v>
      </c>
      <c r="C10" s="63">
        <f>C5-C6-C7-C8-C9</f>
        <v>3.11556986</v>
      </c>
      <c r="D10" s="6" t="s">
        <v>790</v>
      </c>
      <c r="E10" s="2"/>
      <c r="F10" s="2"/>
    </row>
    <row r="11" ht="15.0" customHeight="1">
      <c r="A11" s="6" t="s">
        <v>791</v>
      </c>
      <c r="B11" s="8" t="s">
        <v>492</v>
      </c>
      <c r="C11" s="24">
        <f>'Business plan'!G42</f>
        <v>5725.354</v>
      </c>
      <c r="D11" s="6" t="s">
        <v>793</v>
      </c>
      <c r="E11" s="2"/>
      <c r="F11" s="2"/>
    </row>
    <row r="12" ht="15.0" customHeight="1">
      <c r="A12" s="5" t="s">
        <v>279</v>
      </c>
      <c r="B12" s="8" t="s">
        <v>44</v>
      </c>
      <c r="C12" s="38">
        <f>IF(C10&lt;=0,"mai",C11/C10)</f>
        <v>1837.658681</v>
      </c>
      <c r="D12" s="6" t="s">
        <v>794</v>
      </c>
      <c r="E12" s="2"/>
      <c r="F12" s="2"/>
    </row>
    <row r="13" ht="15.0" customHeight="1">
      <c r="A13" s="6" t="s">
        <v>795</v>
      </c>
      <c r="B13" s="8" t="s">
        <v>44</v>
      </c>
      <c r="C13" s="28">
        <f>Parametri!$C$16*(1-Parametri!$C$28)</f>
        <v>7948.8</v>
      </c>
      <c r="D13" s="6" t="s">
        <v>796</v>
      </c>
      <c r="E13" s="2"/>
      <c r="F13" s="2"/>
    </row>
    <row r="14" ht="15.0" customHeight="1">
      <c r="A14" s="6" t="s">
        <v>797</v>
      </c>
      <c r="B14" s="8" t="s">
        <v>89</v>
      </c>
      <c r="C14" s="40">
        <f>IF(ISNUMBER(C12),C12/C13,"n/d")</f>
        <v>0.2311869315</v>
      </c>
      <c r="D14" s="6" t="s">
        <v>799</v>
      </c>
      <c r="E14" s="2"/>
      <c r="F14" s="2"/>
    </row>
    <row r="15" ht="15.0" customHeight="1">
      <c r="A15" s="6" t="s">
        <v>800</v>
      </c>
      <c r="B15" s="8"/>
      <c r="C15" s="6" t="str">
        <f>IF(ISNUMBER(C14),IF(C14&lt;=1,"Pareggio entro la capacità","Pareggio OLTRE la capacità"),"Non raggiungibile")</f>
        <v>Pareggio entro la capacità</v>
      </c>
      <c r="D15" s="6"/>
      <c r="E15" s="2"/>
      <c r="F15" s="2"/>
    </row>
    <row r="16" ht="15.0" customHeight="1">
      <c r="A16" s="5" t="s">
        <v>801</v>
      </c>
      <c r="B16" s="8" t="s">
        <v>44</v>
      </c>
      <c r="C16" s="28">
        <f>IF(C10&lt;=0,"mai",(C11+'Impianto e costi'!$G$73/5)/C10)</f>
        <v>5709.290125</v>
      </c>
      <c r="D16" s="6" t="s">
        <v>802</v>
      </c>
      <c r="E16" s="2"/>
      <c r="F16" s="2"/>
    </row>
    <row r="17" ht="15.0" customHeight="1">
      <c r="A17" s="6" t="s">
        <v>280</v>
      </c>
      <c r="B17" s="8" t="s">
        <v>89</v>
      </c>
      <c r="C17" s="40">
        <f>IF(ISNUMBER(C16),C16/C13,"n/d")</f>
        <v>0.7182581176</v>
      </c>
      <c r="D17" s="6"/>
      <c r="E17" s="2"/>
      <c r="F17" s="2"/>
    </row>
    <row r="18" ht="15.0" customHeight="1">
      <c r="A18" s="6" t="s">
        <v>804</v>
      </c>
      <c r="B18" s="8" t="s">
        <v>44</v>
      </c>
      <c r="C18" s="28">
        <f>IF(C10&lt;=0,"mai",(C11-Parametri!$C$73*12)/C10)</f>
        <v>1837.658681</v>
      </c>
      <c r="D18" s="6" t="s">
        <v>805</v>
      </c>
      <c r="E18" s="2"/>
      <c r="F18" s="2"/>
    </row>
    <row r="19" ht="15.0" customHeight="1">
      <c r="A19" s="6" t="s">
        <v>806</v>
      </c>
      <c r="B19" s="8" t="s">
        <v>44</v>
      </c>
      <c r="C19" s="28">
        <f>Parametri!$C$25</f>
        <v>5409</v>
      </c>
      <c r="D19" s="6" t="s">
        <v>807</v>
      </c>
      <c r="E19" s="2"/>
      <c r="F19" s="2"/>
    </row>
    <row r="20" ht="15.0" customHeight="1">
      <c r="A20" s="6" t="s">
        <v>808</v>
      </c>
      <c r="B20" s="8" t="s">
        <v>89</v>
      </c>
      <c r="C20" s="40">
        <f>IF(ISNUMBER(C12),C12/C19,"n/d")</f>
        <v>0.3397409283</v>
      </c>
      <c r="D20" s="6" t="s">
        <v>809</v>
      </c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 fitToPage="1"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6.0"/>
    <col customWidth="1" min="3" max="3" width="26.0"/>
    <col customWidth="1" min="4" max="4" width="20.0"/>
    <col customWidth="1" min="5" max="5" width="30.0"/>
    <col customWidth="1" min="6" max="6" width="22.43"/>
    <col customWidth="1" min="7" max="7" width="9.0"/>
    <col customWidth="1" min="8" max="8" width="8.0"/>
    <col customWidth="1" min="9" max="9" width="11.0"/>
    <col customWidth="1" min="10" max="10" width="9.0"/>
    <col customWidth="1" min="11" max="13" width="11.0"/>
    <col customWidth="1" min="14" max="14" width="16.0"/>
    <col customWidth="1" min="15" max="15" width="46.0"/>
    <col customWidth="1" min="16" max="16" width="28.0"/>
    <col customWidth="1" min="17" max="17" width="8.0"/>
    <col customWidth="1" min="18" max="26" width="8.71"/>
  </cols>
  <sheetData>
    <row r="1" ht="18.0" customHeight="1">
      <c r="A1" s="1" t="s">
        <v>814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42.0" customHeight="1">
      <c r="A2" s="69" t="s">
        <v>815</v>
      </c>
    </row>
    <row r="3" ht="15.0" customHeight="1">
      <c r="A3" s="70" t="s">
        <v>47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</row>
    <row r="4" ht="27.75" customHeight="1">
      <c r="A4" s="2"/>
      <c r="B4" s="72" t="s">
        <v>816</v>
      </c>
      <c r="C4" s="73">
        <f>COUNTA(B24:B72)-COUNTIF(J24:J72,"Escl.")</f>
        <v>46</v>
      </c>
      <c r="D4" s="74" t="s">
        <v>817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27.75" customHeight="1">
      <c r="A5" s="2"/>
      <c r="B5" s="72" t="s">
        <v>818</v>
      </c>
      <c r="C5" s="75" t="str">
        <f>COUNTIF(J24:J72,"A")&amp;" / "&amp;COUNTIF(J24:J72,"B")&amp;" / "&amp;COUNTIF(J24:J72,"C")</f>
        <v>20 / 24 / 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ht="27.75" customHeight="1">
      <c r="A6" s="2"/>
      <c r="B6" s="72" t="s">
        <v>819</v>
      </c>
      <c r="C6" s="76">
        <f>SUM(K24:K72)</f>
        <v>29.2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7.75" customHeight="1">
      <c r="A7" s="2"/>
      <c r="B7" s="72" t="s">
        <v>820</v>
      </c>
      <c r="C7" s="76">
        <f>SUM(M24:M72)</f>
        <v>5.174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27.75" customHeight="1">
      <c r="A8" s="2"/>
      <c r="B8" s="72" t="s">
        <v>821</v>
      </c>
      <c r="C8" s="77">
        <f>Parametri!C22</f>
        <v>12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ht="27.75" customHeight="1">
      <c r="A9" s="2"/>
      <c r="B9" s="72" t="s">
        <v>822</v>
      </c>
      <c r="C9" s="78">
        <f>IF(C8=0,0,C7/C8)</f>
        <v>0.4311666667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ht="27.75" customHeight="1">
      <c r="A10" s="2"/>
      <c r="B10" s="72" t="s">
        <v>823</v>
      </c>
      <c r="C10" s="73">
        <f>IF(AVERAGEIF(J24:J72,"&lt;&gt;Escl.",K24:K72)=0,0,ROUNDUP(C8/AVERAGEIF(J24:J72,"&lt;&gt;Escl.",K24:K72),0))</f>
        <v>19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ht="15.0" customHeight="1">
      <c r="A11" s="70" t="s">
        <v>825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</row>
    <row r="12" ht="34.5" customHeight="1">
      <c r="A12" s="2"/>
      <c r="B12" s="79" t="s">
        <v>826</v>
      </c>
      <c r="C12" s="79" t="s">
        <v>827</v>
      </c>
      <c r="D12" s="80" t="s">
        <v>828</v>
      </c>
      <c r="E12" s="55"/>
      <c r="F12" s="55"/>
      <c r="G12" s="55"/>
      <c r="H12" s="55"/>
      <c r="I12" s="56"/>
      <c r="J12" s="2"/>
      <c r="K12" s="79" t="s">
        <v>829</v>
      </c>
      <c r="L12" s="79" t="s">
        <v>830</v>
      </c>
      <c r="M12" s="80" t="s">
        <v>831</v>
      </c>
      <c r="N12" s="55"/>
      <c r="O12" s="55"/>
      <c r="P12" s="55"/>
      <c r="Q12" s="56"/>
    </row>
    <row r="13" ht="15.0" customHeight="1">
      <c r="A13" s="2"/>
      <c r="B13" s="81" t="s">
        <v>832</v>
      </c>
      <c r="C13" s="82">
        <v>1.5</v>
      </c>
      <c r="D13" s="83" t="s">
        <v>833</v>
      </c>
      <c r="E13" s="55"/>
      <c r="F13" s="55"/>
      <c r="G13" s="55"/>
      <c r="H13" s="55"/>
      <c r="I13" s="56"/>
      <c r="J13" s="2"/>
      <c r="K13" s="84" t="s">
        <v>834</v>
      </c>
      <c r="L13" s="85">
        <v>0.25</v>
      </c>
      <c r="M13" s="83" t="s">
        <v>835</v>
      </c>
      <c r="N13" s="55"/>
      <c r="O13" s="55"/>
      <c r="P13" s="55"/>
      <c r="Q13" s="56"/>
    </row>
    <row r="14" ht="15.0" customHeight="1">
      <c r="A14" s="2"/>
      <c r="B14" s="81" t="s">
        <v>836</v>
      </c>
      <c r="C14" s="86">
        <v>0.5</v>
      </c>
      <c r="D14" s="83" t="s">
        <v>837</v>
      </c>
      <c r="E14" s="55"/>
      <c r="F14" s="55"/>
      <c r="G14" s="55"/>
      <c r="H14" s="55"/>
      <c r="I14" s="56"/>
      <c r="J14" s="2"/>
      <c r="K14" s="84" t="s">
        <v>838</v>
      </c>
      <c r="L14" s="85">
        <v>0.12</v>
      </c>
      <c r="M14" s="83" t="s">
        <v>839</v>
      </c>
      <c r="N14" s="55"/>
      <c r="O14" s="55"/>
      <c r="P14" s="55"/>
      <c r="Q14" s="56"/>
    </row>
    <row r="15" ht="15.0" customHeight="1">
      <c r="A15" s="2"/>
      <c r="B15" s="81" t="s">
        <v>840</v>
      </c>
      <c r="C15" s="86">
        <v>0.3</v>
      </c>
      <c r="D15" s="83" t="s">
        <v>841</v>
      </c>
      <c r="E15" s="55"/>
      <c r="F15" s="55"/>
      <c r="G15" s="55"/>
      <c r="H15" s="55"/>
      <c r="I15" s="56"/>
      <c r="J15" s="2"/>
      <c r="K15" s="84" t="s">
        <v>842</v>
      </c>
      <c r="L15" s="85">
        <v>0.04</v>
      </c>
      <c r="M15" s="83" t="s">
        <v>843</v>
      </c>
      <c r="N15" s="55"/>
      <c r="O15" s="55"/>
      <c r="P15" s="55"/>
      <c r="Q15" s="56"/>
    </row>
    <row r="16" ht="15.0" customHeight="1">
      <c r="A16" s="2"/>
      <c r="B16" s="81" t="s">
        <v>844</v>
      </c>
      <c r="C16" s="86">
        <v>0.6</v>
      </c>
      <c r="D16" s="83" t="s">
        <v>845</v>
      </c>
      <c r="E16" s="55"/>
      <c r="F16" s="55"/>
      <c r="G16" s="55"/>
      <c r="H16" s="55"/>
      <c r="I16" s="56"/>
      <c r="J16" s="2"/>
      <c r="K16" s="84" t="s">
        <v>846</v>
      </c>
      <c r="L16" s="85">
        <v>0.0</v>
      </c>
      <c r="M16" s="83" t="s">
        <v>847</v>
      </c>
      <c r="N16" s="55"/>
      <c r="O16" s="55"/>
      <c r="P16" s="55"/>
      <c r="Q16" s="56"/>
    </row>
    <row r="17" ht="15.0" customHeight="1">
      <c r="A17" s="2"/>
      <c r="B17" s="81" t="s">
        <v>848</v>
      </c>
      <c r="C17" s="86">
        <v>0.4</v>
      </c>
      <c r="D17" s="83" t="s">
        <v>849</v>
      </c>
      <c r="E17" s="55"/>
      <c r="F17" s="55"/>
      <c r="G17" s="55"/>
      <c r="H17" s="55"/>
      <c r="I17" s="56"/>
      <c r="J17" s="2"/>
      <c r="K17" s="2"/>
      <c r="L17" s="2"/>
      <c r="M17" s="2"/>
      <c r="N17" s="2"/>
      <c r="O17" s="2"/>
      <c r="P17" s="2"/>
      <c r="Q17" s="2"/>
    </row>
    <row r="18" ht="15.0" customHeight="1">
      <c r="A18" s="2"/>
      <c r="B18" s="81" t="s">
        <v>850</v>
      </c>
      <c r="C18" s="86">
        <v>0.5</v>
      </c>
      <c r="D18" s="83" t="s">
        <v>851</v>
      </c>
      <c r="E18" s="55"/>
      <c r="F18" s="55"/>
      <c r="G18" s="55"/>
      <c r="H18" s="55"/>
      <c r="I18" s="56"/>
      <c r="J18" s="2"/>
      <c r="K18" s="2"/>
      <c r="L18" s="2"/>
      <c r="M18" s="2"/>
      <c r="N18" s="2"/>
      <c r="O18" s="2"/>
      <c r="P18" s="2"/>
      <c r="Q18" s="2"/>
    </row>
    <row r="19" ht="15.0" customHeight="1">
      <c r="A19" s="2"/>
      <c r="B19" s="81" t="s">
        <v>852</v>
      </c>
      <c r="C19" s="86">
        <v>0.5</v>
      </c>
      <c r="D19" s="83" t="s">
        <v>853</v>
      </c>
      <c r="E19" s="55"/>
      <c r="F19" s="55"/>
      <c r="G19" s="55"/>
      <c r="H19" s="55"/>
      <c r="I19" s="56"/>
      <c r="J19" s="2"/>
      <c r="K19" s="2"/>
      <c r="L19" s="2"/>
      <c r="M19" s="2"/>
      <c r="N19" s="2"/>
      <c r="O19" s="2"/>
      <c r="P19" s="2"/>
      <c r="Q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ht="15.0" customHeight="1">
      <c r="A22" s="70" t="s">
        <v>854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</row>
    <row r="23" ht="30.0" customHeight="1">
      <c r="A23" s="4" t="s">
        <v>855</v>
      </c>
      <c r="B23" s="4" t="s">
        <v>152</v>
      </c>
      <c r="C23" s="4" t="s">
        <v>826</v>
      </c>
      <c r="D23" s="4" t="s">
        <v>127</v>
      </c>
      <c r="E23" s="4" t="s">
        <v>856</v>
      </c>
      <c r="F23" s="4" t="s">
        <v>857</v>
      </c>
      <c r="G23" s="4" t="s">
        <v>858</v>
      </c>
      <c r="H23" s="4" t="s">
        <v>859</v>
      </c>
      <c r="I23" s="4" t="s">
        <v>860</v>
      </c>
      <c r="J23" s="4" t="s">
        <v>829</v>
      </c>
      <c r="K23" s="4" t="s">
        <v>827</v>
      </c>
      <c r="L23" s="4" t="s">
        <v>861</v>
      </c>
      <c r="M23" s="4" t="s">
        <v>862</v>
      </c>
      <c r="N23" s="4" t="s">
        <v>863</v>
      </c>
      <c r="O23" s="4" t="s">
        <v>828</v>
      </c>
      <c r="P23" s="4" t="s">
        <v>864</v>
      </c>
      <c r="Q23" s="4" t="s">
        <v>865</v>
      </c>
    </row>
    <row r="24" ht="15.0" customHeight="1">
      <c r="A24" s="84">
        <v>1.0</v>
      </c>
      <c r="B24" s="72" t="s">
        <v>866</v>
      </c>
      <c r="C24" s="72" t="s">
        <v>836</v>
      </c>
      <c r="D24" s="72" t="s">
        <v>867</v>
      </c>
      <c r="E24" s="72" t="s">
        <v>868</v>
      </c>
      <c r="F24" s="72" t="s">
        <v>869</v>
      </c>
      <c r="G24" s="87">
        <v>0.2</v>
      </c>
      <c r="H24" s="87">
        <v>4.4</v>
      </c>
      <c r="I24" s="84">
        <v>131.0</v>
      </c>
      <c r="J24" s="88" t="s">
        <v>834</v>
      </c>
      <c r="K24" s="87">
        <f t="shared" ref="K24:K72" si="1">IF(J24="Escl.",0,VLOOKUP(C24,$B$13:$C$19,2,FALSE()))</f>
        <v>0.5</v>
      </c>
      <c r="L24" s="89">
        <f t="shared" ref="L24:L72" si="2">VLOOKUP(J24,$K$13:$L$16,2,FALSE())</f>
        <v>0.25</v>
      </c>
      <c r="M24" s="90">
        <f t="shared" ref="M24:M72" si="3">K24*L24</f>
        <v>0.125</v>
      </c>
      <c r="N24" s="91" t="s">
        <v>870</v>
      </c>
      <c r="O24" s="72"/>
      <c r="P24" s="91"/>
      <c r="Q24" s="92" t="s">
        <v>871</v>
      </c>
    </row>
    <row r="25" ht="15.0" customHeight="1">
      <c r="A25" s="84">
        <v>2.0</v>
      </c>
      <c r="B25" s="72" t="s">
        <v>872</v>
      </c>
      <c r="C25" s="72" t="s">
        <v>836</v>
      </c>
      <c r="D25" s="72" t="s">
        <v>867</v>
      </c>
      <c r="E25" s="72" t="s">
        <v>873</v>
      </c>
      <c r="F25" s="72"/>
      <c r="G25" s="87">
        <v>0.2</v>
      </c>
      <c r="H25" s="87">
        <v>4.5</v>
      </c>
      <c r="I25" s="84">
        <v>19.0</v>
      </c>
      <c r="J25" s="88" t="s">
        <v>834</v>
      </c>
      <c r="K25" s="87">
        <f t="shared" si="1"/>
        <v>0.5</v>
      </c>
      <c r="L25" s="89">
        <f t="shared" si="2"/>
        <v>0.25</v>
      </c>
      <c r="M25" s="90">
        <f t="shared" si="3"/>
        <v>0.125</v>
      </c>
      <c r="N25" s="91" t="s">
        <v>870</v>
      </c>
      <c r="O25" s="72"/>
      <c r="P25" s="91"/>
      <c r="Q25" s="92" t="s">
        <v>871</v>
      </c>
    </row>
    <row r="26" ht="15.0" customHeight="1">
      <c r="A26" s="84">
        <v>3.0</v>
      </c>
      <c r="B26" s="72" t="s">
        <v>875</v>
      </c>
      <c r="C26" s="72" t="s">
        <v>832</v>
      </c>
      <c r="D26" s="72" t="s">
        <v>867</v>
      </c>
      <c r="E26" s="72" t="s">
        <v>876</v>
      </c>
      <c r="F26" s="72" t="s">
        <v>877</v>
      </c>
      <c r="G26" s="87">
        <v>0.3</v>
      </c>
      <c r="H26" s="87">
        <v>4.5</v>
      </c>
      <c r="I26" s="84">
        <v>411.0</v>
      </c>
      <c r="J26" s="88" t="s">
        <v>834</v>
      </c>
      <c r="K26" s="87">
        <f t="shared" si="1"/>
        <v>1.5</v>
      </c>
      <c r="L26" s="89">
        <f t="shared" si="2"/>
        <v>0.25</v>
      </c>
      <c r="M26" s="90">
        <f t="shared" si="3"/>
        <v>0.375</v>
      </c>
      <c r="N26" s="91" t="s">
        <v>870</v>
      </c>
      <c r="O26" s="72"/>
      <c r="P26" s="91"/>
      <c r="Q26" s="92" t="s">
        <v>871</v>
      </c>
    </row>
    <row r="27" ht="15.0" customHeight="1">
      <c r="A27" s="84">
        <v>4.0</v>
      </c>
      <c r="B27" s="72" t="s">
        <v>878</v>
      </c>
      <c r="C27" s="72" t="s">
        <v>836</v>
      </c>
      <c r="D27" s="72" t="s">
        <v>867</v>
      </c>
      <c r="E27" s="72" t="s">
        <v>879</v>
      </c>
      <c r="F27" s="72" t="s">
        <v>880</v>
      </c>
      <c r="G27" s="87">
        <v>0.3</v>
      </c>
      <c r="H27" s="87">
        <v>4.8</v>
      </c>
      <c r="I27" s="84">
        <v>104.0</v>
      </c>
      <c r="J27" s="88" t="s">
        <v>834</v>
      </c>
      <c r="K27" s="87">
        <f t="shared" si="1"/>
        <v>0.5</v>
      </c>
      <c r="L27" s="89">
        <f t="shared" si="2"/>
        <v>0.25</v>
      </c>
      <c r="M27" s="90">
        <f t="shared" si="3"/>
        <v>0.125</v>
      </c>
      <c r="N27" s="91" t="s">
        <v>870</v>
      </c>
      <c r="O27" s="72"/>
      <c r="P27" s="91"/>
      <c r="Q27" s="92" t="s">
        <v>871</v>
      </c>
    </row>
    <row r="28" ht="15.0" customHeight="1">
      <c r="A28" s="84">
        <v>5.0</v>
      </c>
      <c r="B28" s="72" t="s">
        <v>882</v>
      </c>
      <c r="C28" s="72" t="s">
        <v>840</v>
      </c>
      <c r="D28" s="72" t="s">
        <v>867</v>
      </c>
      <c r="E28" s="72" t="s">
        <v>883</v>
      </c>
      <c r="F28" s="72" t="s">
        <v>884</v>
      </c>
      <c r="G28" s="87">
        <v>0.3</v>
      </c>
      <c r="H28" s="87">
        <v>4.6</v>
      </c>
      <c r="I28" s="84">
        <v>11.0</v>
      </c>
      <c r="J28" s="88" t="s">
        <v>834</v>
      </c>
      <c r="K28" s="87">
        <f t="shared" si="1"/>
        <v>0.3</v>
      </c>
      <c r="L28" s="89">
        <f t="shared" si="2"/>
        <v>0.25</v>
      </c>
      <c r="M28" s="90">
        <f t="shared" si="3"/>
        <v>0.075</v>
      </c>
      <c r="N28" s="91" t="s">
        <v>870</v>
      </c>
      <c r="O28" s="72"/>
      <c r="P28" s="91"/>
      <c r="Q28" s="92" t="s">
        <v>871</v>
      </c>
    </row>
    <row r="29" ht="15.0" customHeight="1">
      <c r="A29" s="84">
        <v>6.0</v>
      </c>
      <c r="B29" s="72" t="s">
        <v>886</v>
      </c>
      <c r="C29" s="72" t="s">
        <v>832</v>
      </c>
      <c r="D29" s="72" t="s">
        <v>867</v>
      </c>
      <c r="E29" s="72" t="s">
        <v>887</v>
      </c>
      <c r="F29" s="72" t="s">
        <v>888</v>
      </c>
      <c r="G29" s="87">
        <v>0.4</v>
      </c>
      <c r="H29" s="87">
        <v>4.1</v>
      </c>
      <c r="I29" s="84">
        <v>387.0</v>
      </c>
      <c r="J29" s="88" t="s">
        <v>834</v>
      </c>
      <c r="K29" s="87">
        <f t="shared" si="1"/>
        <v>1.5</v>
      </c>
      <c r="L29" s="89">
        <f t="shared" si="2"/>
        <v>0.25</v>
      </c>
      <c r="M29" s="90">
        <f t="shared" si="3"/>
        <v>0.375</v>
      </c>
      <c r="N29" s="91" t="s">
        <v>870</v>
      </c>
      <c r="O29" s="72"/>
      <c r="P29" s="91"/>
      <c r="Q29" s="92" t="s">
        <v>871</v>
      </c>
    </row>
    <row r="30" ht="15.0" customHeight="1">
      <c r="A30" s="84">
        <v>7.0</v>
      </c>
      <c r="B30" s="72" t="s">
        <v>890</v>
      </c>
      <c r="C30" s="72" t="s">
        <v>840</v>
      </c>
      <c r="D30" s="72" t="s">
        <v>867</v>
      </c>
      <c r="E30" s="72" t="s">
        <v>891</v>
      </c>
      <c r="F30" s="72" t="s">
        <v>892</v>
      </c>
      <c r="G30" s="87">
        <v>0.4</v>
      </c>
      <c r="H30" s="87">
        <v>4.5</v>
      </c>
      <c r="I30" s="84">
        <v>15.0</v>
      </c>
      <c r="J30" s="88" t="s">
        <v>834</v>
      </c>
      <c r="K30" s="87">
        <f t="shared" si="1"/>
        <v>0.3</v>
      </c>
      <c r="L30" s="89">
        <f t="shared" si="2"/>
        <v>0.25</v>
      </c>
      <c r="M30" s="90">
        <f t="shared" si="3"/>
        <v>0.075</v>
      </c>
      <c r="N30" s="91" t="s">
        <v>870</v>
      </c>
      <c r="O30" s="72"/>
      <c r="P30" s="91"/>
      <c r="Q30" s="92" t="s">
        <v>871</v>
      </c>
    </row>
    <row r="31" ht="15.0" customHeight="1">
      <c r="A31" s="84">
        <v>8.0</v>
      </c>
      <c r="B31" s="72" t="s">
        <v>895</v>
      </c>
      <c r="C31" s="72" t="s">
        <v>844</v>
      </c>
      <c r="D31" s="72" t="s">
        <v>867</v>
      </c>
      <c r="E31" s="72" t="s">
        <v>896</v>
      </c>
      <c r="F31" s="72" t="s">
        <v>897</v>
      </c>
      <c r="G31" s="87">
        <v>0.7</v>
      </c>
      <c r="H31" s="87">
        <v>4.7</v>
      </c>
      <c r="I31" s="84">
        <v>20.0</v>
      </c>
      <c r="J31" s="88" t="s">
        <v>834</v>
      </c>
      <c r="K31" s="87">
        <f t="shared" si="1"/>
        <v>0.6</v>
      </c>
      <c r="L31" s="89">
        <f t="shared" si="2"/>
        <v>0.25</v>
      </c>
      <c r="M31" s="90">
        <f t="shared" si="3"/>
        <v>0.15</v>
      </c>
      <c r="N31" s="91" t="s">
        <v>870</v>
      </c>
      <c r="O31" s="72"/>
      <c r="P31" s="91"/>
      <c r="Q31" s="92" t="s">
        <v>871</v>
      </c>
    </row>
    <row r="32" ht="15.0" customHeight="1">
      <c r="A32" s="84">
        <v>9.0</v>
      </c>
      <c r="B32" s="72" t="s">
        <v>920</v>
      </c>
      <c r="C32" s="72" t="s">
        <v>844</v>
      </c>
      <c r="D32" s="72" t="s">
        <v>867</v>
      </c>
      <c r="E32" s="72" t="s">
        <v>922</v>
      </c>
      <c r="F32" s="72" t="s">
        <v>924</v>
      </c>
      <c r="G32" s="87">
        <v>0.7</v>
      </c>
      <c r="H32" s="87">
        <v>4.6</v>
      </c>
      <c r="I32" s="84">
        <v>276.0</v>
      </c>
      <c r="J32" s="88" t="s">
        <v>834</v>
      </c>
      <c r="K32" s="87">
        <f t="shared" si="1"/>
        <v>0.6</v>
      </c>
      <c r="L32" s="89">
        <f t="shared" si="2"/>
        <v>0.25</v>
      </c>
      <c r="M32" s="90">
        <f t="shared" si="3"/>
        <v>0.15</v>
      </c>
      <c r="N32" s="91" t="s">
        <v>870</v>
      </c>
      <c r="O32" s="72"/>
      <c r="P32" s="91"/>
      <c r="Q32" s="92" t="s">
        <v>871</v>
      </c>
    </row>
    <row r="33" ht="23.25" customHeight="1">
      <c r="A33" s="84">
        <v>10.0</v>
      </c>
      <c r="B33" s="72" t="s">
        <v>935</v>
      </c>
      <c r="C33" s="72" t="s">
        <v>848</v>
      </c>
      <c r="D33" s="72" t="s">
        <v>936</v>
      </c>
      <c r="E33" s="72" t="s">
        <v>937</v>
      </c>
      <c r="F33" s="72" t="s">
        <v>938</v>
      </c>
      <c r="G33" s="87">
        <v>3.2</v>
      </c>
      <c r="H33" s="87">
        <v>4.8</v>
      </c>
      <c r="I33" s="84">
        <v>156.0</v>
      </c>
      <c r="J33" s="88" t="s">
        <v>838</v>
      </c>
      <c r="K33" s="87">
        <f t="shared" si="1"/>
        <v>0.4</v>
      </c>
      <c r="L33" s="89">
        <f t="shared" si="2"/>
        <v>0.12</v>
      </c>
      <c r="M33" s="90">
        <f t="shared" si="3"/>
        <v>0.048</v>
      </c>
      <c r="N33" s="91" t="s">
        <v>870</v>
      </c>
      <c r="O33" s="72"/>
      <c r="P33" s="91"/>
      <c r="Q33" s="92" t="s">
        <v>871</v>
      </c>
    </row>
    <row r="34" ht="15.0" customHeight="1">
      <c r="A34" s="84">
        <v>11.0</v>
      </c>
      <c r="B34" s="72" t="s">
        <v>939</v>
      </c>
      <c r="C34" s="72" t="s">
        <v>844</v>
      </c>
      <c r="D34" s="72" t="s">
        <v>867</v>
      </c>
      <c r="E34" s="72" t="s">
        <v>940</v>
      </c>
      <c r="F34" s="72" t="s">
        <v>941</v>
      </c>
      <c r="G34" s="87">
        <v>3.4</v>
      </c>
      <c r="H34" s="87">
        <v>4.7</v>
      </c>
      <c r="I34" s="84">
        <v>131.0</v>
      </c>
      <c r="J34" s="88" t="s">
        <v>834</v>
      </c>
      <c r="K34" s="87">
        <f t="shared" si="1"/>
        <v>0.6</v>
      </c>
      <c r="L34" s="89">
        <f t="shared" si="2"/>
        <v>0.25</v>
      </c>
      <c r="M34" s="90">
        <f t="shared" si="3"/>
        <v>0.15</v>
      </c>
      <c r="N34" s="91" t="s">
        <v>870</v>
      </c>
      <c r="O34" s="72"/>
      <c r="P34" s="91"/>
      <c r="Q34" s="92" t="s">
        <v>871</v>
      </c>
    </row>
    <row r="35" ht="23.25" customHeight="1">
      <c r="A35" s="84">
        <v>12.0</v>
      </c>
      <c r="B35" s="72" t="s">
        <v>942</v>
      </c>
      <c r="C35" s="72" t="s">
        <v>848</v>
      </c>
      <c r="D35" s="72" t="s">
        <v>936</v>
      </c>
      <c r="E35" s="72" t="s">
        <v>943</v>
      </c>
      <c r="F35" s="72" t="s">
        <v>944</v>
      </c>
      <c r="G35" s="87">
        <v>3.5</v>
      </c>
      <c r="H35" s="87">
        <v>4.4</v>
      </c>
      <c r="I35" s="84">
        <v>173.0</v>
      </c>
      <c r="J35" s="88" t="s">
        <v>838</v>
      </c>
      <c r="K35" s="87">
        <f t="shared" si="1"/>
        <v>0.4</v>
      </c>
      <c r="L35" s="89">
        <f t="shared" si="2"/>
        <v>0.12</v>
      </c>
      <c r="M35" s="90">
        <f t="shared" si="3"/>
        <v>0.048</v>
      </c>
      <c r="N35" s="91" t="s">
        <v>870</v>
      </c>
      <c r="O35" s="72"/>
      <c r="P35" s="91"/>
      <c r="Q35" s="92" t="s">
        <v>871</v>
      </c>
    </row>
    <row r="36" ht="23.25" customHeight="1">
      <c r="A36" s="84">
        <v>13.0</v>
      </c>
      <c r="B36" s="72" t="s">
        <v>946</v>
      </c>
      <c r="C36" s="72" t="s">
        <v>848</v>
      </c>
      <c r="D36" s="72" t="s">
        <v>947</v>
      </c>
      <c r="E36" s="72"/>
      <c r="F36" s="72" t="s">
        <v>948</v>
      </c>
      <c r="G36" s="87">
        <v>4.3</v>
      </c>
      <c r="H36" s="87">
        <v>4.6</v>
      </c>
      <c r="I36" s="84">
        <v>58.0</v>
      </c>
      <c r="J36" s="88" t="s">
        <v>838</v>
      </c>
      <c r="K36" s="87">
        <f t="shared" si="1"/>
        <v>0.4</v>
      </c>
      <c r="L36" s="89">
        <f t="shared" si="2"/>
        <v>0.12</v>
      </c>
      <c r="M36" s="90">
        <f t="shared" si="3"/>
        <v>0.048</v>
      </c>
      <c r="N36" s="91" t="s">
        <v>870</v>
      </c>
      <c r="O36" s="72"/>
      <c r="P36" s="91"/>
      <c r="Q36" s="92" t="s">
        <v>871</v>
      </c>
    </row>
    <row r="37" ht="15.0" customHeight="1">
      <c r="A37" s="84">
        <v>14.0</v>
      </c>
      <c r="B37" s="72" t="s">
        <v>950</v>
      </c>
      <c r="C37" s="72" t="s">
        <v>844</v>
      </c>
      <c r="D37" s="72" t="s">
        <v>951</v>
      </c>
      <c r="E37" s="72"/>
      <c r="F37" s="72" t="s">
        <v>952</v>
      </c>
      <c r="G37" s="87">
        <v>4.6</v>
      </c>
      <c r="H37" s="87">
        <v>4.4</v>
      </c>
      <c r="I37" s="84">
        <v>611.0</v>
      </c>
      <c r="J37" s="88" t="s">
        <v>834</v>
      </c>
      <c r="K37" s="87">
        <f t="shared" si="1"/>
        <v>0.6</v>
      </c>
      <c r="L37" s="89">
        <f t="shared" si="2"/>
        <v>0.25</v>
      </c>
      <c r="M37" s="90">
        <f t="shared" si="3"/>
        <v>0.15</v>
      </c>
      <c r="N37" s="91" t="s">
        <v>870</v>
      </c>
      <c r="O37" s="72" t="s">
        <v>953</v>
      </c>
      <c r="P37" s="91"/>
      <c r="Q37" s="92" t="s">
        <v>871</v>
      </c>
    </row>
    <row r="38" ht="15.0" customHeight="1">
      <c r="A38" s="84">
        <v>15.0</v>
      </c>
      <c r="B38" s="72" t="s">
        <v>954</v>
      </c>
      <c r="C38" s="72" t="s">
        <v>844</v>
      </c>
      <c r="D38" s="72" t="s">
        <v>955</v>
      </c>
      <c r="E38" s="72" t="s">
        <v>956</v>
      </c>
      <c r="F38" s="72" t="s">
        <v>957</v>
      </c>
      <c r="G38" s="87">
        <v>11.0</v>
      </c>
      <c r="H38" s="87">
        <v>4.7</v>
      </c>
      <c r="I38" s="84">
        <v>1002.0</v>
      </c>
      <c r="J38" s="88" t="s">
        <v>834</v>
      </c>
      <c r="K38" s="87">
        <f t="shared" si="1"/>
        <v>0.6</v>
      </c>
      <c r="L38" s="89">
        <f t="shared" si="2"/>
        <v>0.25</v>
      </c>
      <c r="M38" s="90">
        <f t="shared" si="3"/>
        <v>0.15</v>
      </c>
      <c r="N38" s="91" t="s">
        <v>870</v>
      </c>
      <c r="O38" s="72"/>
      <c r="P38" s="91"/>
      <c r="Q38" s="92" t="s">
        <v>871</v>
      </c>
    </row>
    <row r="39" ht="15.0" customHeight="1">
      <c r="A39" s="84">
        <v>16.0</v>
      </c>
      <c r="B39" s="72" t="s">
        <v>958</v>
      </c>
      <c r="C39" s="72" t="s">
        <v>844</v>
      </c>
      <c r="D39" s="72" t="s">
        <v>959</v>
      </c>
      <c r="E39" s="72" t="s">
        <v>960</v>
      </c>
      <c r="F39" s="72" t="s">
        <v>961</v>
      </c>
      <c r="G39" s="87">
        <v>11.2</v>
      </c>
      <c r="H39" s="87">
        <v>4.6</v>
      </c>
      <c r="I39" s="84">
        <v>335.0</v>
      </c>
      <c r="J39" s="88" t="s">
        <v>834</v>
      </c>
      <c r="K39" s="87">
        <f t="shared" si="1"/>
        <v>0.6</v>
      </c>
      <c r="L39" s="89">
        <f t="shared" si="2"/>
        <v>0.25</v>
      </c>
      <c r="M39" s="90">
        <f t="shared" si="3"/>
        <v>0.15</v>
      </c>
      <c r="N39" s="91" t="s">
        <v>870</v>
      </c>
      <c r="O39" s="72"/>
      <c r="P39" s="91"/>
      <c r="Q39" s="92" t="s">
        <v>871</v>
      </c>
    </row>
    <row r="40" ht="15.0" customHeight="1">
      <c r="A40" s="84">
        <v>17.0</v>
      </c>
      <c r="B40" s="72" t="s">
        <v>962</v>
      </c>
      <c r="C40" s="72" t="s">
        <v>852</v>
      </c>
      <c r="D40" s="72" t="s">
        <v>959</v>
      </c>
      <c r="E40" s="72" t="s">
        <v>963</v>
      </c>
      <c r="F40" s="72" t="s">
        <v>964</v>
      </c>
      <c r="G40" s="87">
        <v>11.2</v>
      </c>
      <c r="H40" s="87">
        <v>5.0</v>
      </c>
      <c r="I40" s="84">
        <v>4.0</v>
      </c>
      <c r="J40" s="88" t="s">
        <v>846</v>
      </c>
      <c r="K40" s="87">
        <f t="shared" si="1"/>
        <v>0</v>
      </c>
      <c r="L40" s="89">
        <f t="shared" si="2"/>
        <v>0</v>
      </c>
      <c r="M40" s="90">
        <f t="shared" si="3"/>
        <v>0</v>
      </c>
      <c r="N40" s="91" t="s">
        <v>870</v>
      </c>
      <c r="O40" s="72" t="s">
        <v>965</v>
      </c>
      <c r="P40" s="91"/>
      <c r="Q40" s="92" t="s">
        <v>871</v>
      </c>
    </row>
    <row r="41" ht="15.0" customHeight="1">
      <c r="A41" s="84">
        <v>18.0</v>
      </c>
      <c r="B41" s="72" t="s">
        <v>966</v>
      </c>
      <c r="C41" s="72" t="s">
        <v>836</v>
      </c>
      <c r="D41" s="72" t="s">
        <v>959</v>
      </c>
      <c r="E41" s="72" t="s">
        <v>967</v>
      </c>
      <c r="F41" s="72" t="s">
        <v>968</v>
      </c>
      <c r="G41" s="87">
        <v>11.3</v>
      </c>
      <c r="H41" s="87">
        <v>4.6</v>
      </c>
      <c r="I41" s="84">
        <v>25.0</v>
      </c>
      <c r="J41" s="88" t="s">
        <v>834</v>
      </c>
      <c r="K41" s="87">
        <f t="shared" si="1"/>
        <v>0.5</v>
      </c>
      <c r="L41" s="89">
        <f t="shared" si="2"/>
        <v>0.25</v>
      </c>
      <c r="M41" s="90">
        <f t="shared" si="3"/>
        <v>0.125</v>
      </c>
      <c r="N41" s="91" t="s">
        <v>870</v>
      </c>
      <c r="O41" s="72"/>
      <c r="P41" s="91"/>
      <c r="Q41" s="92" t="s">
        <v>871</v>
      </c>
    </row>
    <row r="42" ht="15.0" customHeight="1">
      <c r="A42" s="84">
        <v>19.0</v>
      </c>
      <c r="B42" s="72" t="s">
        <v>969</v>
      </c>
      <c r="C42" s="72" t="s">
        <v>832</v>
      </c>
      <c r="D42" s="72" t="s">
        <v>959</v>
      </c>
      <c r="E42" s="72" t="s">
        <v>970</v>
      </c>
      <c r="F42" s="72" t="s">
        <v>971</v>
      </c>
      <c r="G42" s="87">
        <v>11.4</v>
      </c>
      <c r="H42" s="87">
        <v>4.4</v>
      </c>
      <c r="I42" s="84">
        <v>502.0</v>
      </c>
      <c r="J42" s="88" t="s">
        <v>834</v>
      </c>
      <c r="K42" s="87">
        <f t="shared" si="1"/>
        <v>1.5</v>
      </c>
      <c r="L42" s="89">
        <f t="shared" si="2"/>
        <v>0.25</v>
      </c>
      <c r="M42" s="90">
        <f t="shared" si="3"/>
        <v>0.375</v>
      </c>
      <c r="N42" s="91" t="s">
        <v>870</v>
      </c>
      <c r="O42" s="72"/>
      <c r="P42" s="91"/>
      <c r="Q42" s="92" t="s">
        <v>871</v>
      </c>
    </row>
    <row r="43" ht="15.0" customHeight="1">
      <c r="A43" s="84">
        <v>20.0</v>
      </c>
      <c r="B43" s="72" t="s">
        <v>972</v>
      </c>
      <c r="C43" s="72" t="s">
        <v>836</v>
      </c>
      <c r="D43" s="72" t="s">
        <v>959</v>
      </c>
      <c r="E43" s="72" t="s">
        <v>973</v>
      </c>
      <c r="F43" s="72" t="s">
        <v>974</v>
      </c>
      <c r="G43" s="87">
        <v>11.4</v>
      </c>
      <c r="H43" s="87">
        <v>4.4</v>
      </c>
      <c r="I43" s="84">
        <v>231.0</v>
      </c>
      <c r="J43" s="88" t="s">
        <v>834</v>
      </c>
      <c r="K43" s="87">
        <f t="shared" si="1"/>
        <v>0.5</v>
      </c>
      <c r="L43" s="89">
        <f t="shared" si="2"/>
        <v>0.25</v>
      </c>
      <c r="M43" s="90">
        <f t="shared" si="3"/>
        <v>0.125</v>
      </c>
      <c r="N43" s="91" t="s">
        <v>870</v>
      </c>
      <c r="O43" s="72"/>
      <c r="P43" s="91"/>
      <c r="Q43" s="92" t="s">
        <v>871</v>
      </c>
    </row>
    <row r="44" ht="15.0" customHeight="1">
      <c r="A44" s="84">
        <v>21.0</v>
      </c>
      <c r="B44" s="72" t="s">
        <v>976</v>
      </c>
      <c r="C44" s="72" t="s">
        <v>836</v>
      </c>
      <c r="D44" s="72" t="s">
        <v>959</v>
      </c>
      <c r="E44" s="72" t="s">
        <v>977</v>
      </c>
      <c r="F44" s="72" t="s">
        <v>978</v>
      </c>
      <c r="G44" s="87">
        <v>11.4</v>
      </c>
      <c r="H44" s="87">
        <v>4.8</v>
      </c>
      <c r="I44" s="84">
        <v>75.0</v>
      </c>
      <c r="J44" s="88" t="s">
        <v>834</v>
      </c>
      <c r="K44" s="87">
        <f t="shared" si="1"/>
        <v>0.5</v>
      </c>
      <c r="L44" s="89">
        <f t="shared" si="2"/>
        <v>0.25</v>
      </c>
      <c r="M44" s="90">
        <f t="shared" si="3"/>
        <v>0.125</v>
      </c>
      <c r="N44" s="91" t="s">
        <v>870</v>
      </c>
      <c r="O44" s="72"/>
      <c r="P44" s="91"/>
      <c r="Q44" s="92" t="s">
        <v>871</v>
      </c>
    </row>
    <row r="45" ht="15.0" customHeight="1">
      <c r="A45" s="84">
        <v>22.0</v>
      </c>
      <c r="B45" s="72" t="s">
        <v>980</v>
      </c>
      <c r="C45" s="72" t="s">
        <v>836</v>
      </c>
      <c r="D45" s="72" t="s">
        <v>959</v>
      </c>
      <c r="E45" s="72" t="s">
        <v>981</v>
      </c>
      <c r="F45" s="72" t="s">
        <v>982</v>
      </c>
      <c r="G45" s="87">
        <v>11.7</v>
      </c>
      <c r="H45" s="87">
        <v>4.8</v>
      </c>
      <c r="I45" s="84">
        <v>66.0</v>
      </c>
      <c r="J45" s="88" t="s">
        <v>834</v>
      </c>
      <c r="K45" s="87">
        <f t="shared" si="1"/>
        <v>0.5</v>
      </c>
      <c r="L45" s="89">
        <f t="shared" si="2"/>
        <v>0.25</v>
      </c>
      <c r="M45" s="90">
        <f t="shared" si="3"/>
        <v>0.125</v>
      </c>
      <c r="N45" s="91" t="s">
        <v>870</v>
      </c>
      <c r="O45" s="72"/>
      <c r="P45" s="91"/>
      <c r="Q45" s="92" t="s">
        <v>871</v>
      </c>
    </row>
    <row r="46" ht="15.0" customHeight="1">
      <c r="A46" s="84">
        <v>23.0</v>
      </c>
      <c r="B46" s="72" t="s">
        <v>983</v>
      </c>
      <c r="C46" s="72" t="s">
        <v>844</v>
      </c>
      <c r="D46" s="72" t="s">
        <v>959</v>
      </c>
      <c r="E46" s="72" t="s">
        <v>984</v>
      </c>
      <c r="F46" s="72" t="s">
        <v>985</v>
      </c>
      <c r="G46" s="87">
        <v>11.8</v>
      </c>
      <c r="H46" s="87">
        <v>4.6</v>
      </c>
      <c r="I46" s="84">
        <v>926.0</v>
      </c>
      <c r="J46" s="88" t="s">
        <v>834</v>
      </c>
      <c r="K46" s="87">
        <f t="shared" si="1"/>
        <v>0.6</v>
      </c>
      <c r="L46" s="89">
        <f t="shared" si="2"/>
        <v>0.25</v>
      </c>
      <c r="M46" s="90">
        <f t="shared" si="3"/>
        <v>0.15</v>
      </c>
      <c r="N46" s="91" t="s">
        <v>870</v>
      </c>
      <c r="O46" s="72"/>
      <c r="P46" s="91"/>
      <c r="Q46" s="92" t="s">
        <v>871</v>
      </c>
    </row>
    <row r="47" ht="15.0" customHeight="1">
      <c r="A47" s="84">
        <v>24.0</v>
      </c>
      <c r="B47" s="72" t="s">
        <v>986</v>
      </c>
      <c r="C47" s="72" t="s">
        <v>844</v>
      </c>
      <c r="D47" s="72" t="s">
        <v>959</v>
      </c>
      <c r="E47" s="72" t="s">
        <v>987</v>
      </c>
      <c r="F47" s="72" t="s">
        <v>988</v>
      </c>
      <c r="G47" s="87">
        <v>12.0</v>
      </c>
      <c r="H47" s="87">
        <v>4.6</v>
      </c>
      <c r="I47" s="84">
        <v>52.0</v>
      </c>
      <c r="J47" s="88" t="s">
        <v>834</v>
      </c>
      <c r="K47" s="87">
        <f t="shared" si="1"/>
        <v>0.6</v>
      </c>
      <c r="L47" s="89">
        <f t="shared" si="2"/>
        <v>0.25</v>
      </c>
      <c r="M47" s="90">
        <f t="shared" si="3"/>
        <v>0.15</v>
      </c>
      <c r="N47" s="91" t="s">
        <v>870</v>
      </c>
      <c r="O47" s="72"/>
      <c r="P47" s="91"/>
      <c r="Q47" s="92" t="s">
        <v>871</v>
      </c>
    </row>
    <row r="48" ht="23.25" customHeight="1">
      <c r="A48" s="84">
        <v>25.0</v>
      </c>
      <c r="B48" s="72" t="s">
        <v>991</v>
      </c>
      <c r="C48" s="72" t="s">
        <v>848</v>
      </c>
      <c r="D48" s="72" t="s">
        <v>992</v>
      </c>
      <c r="E48" s="72" t="s">
        <v>993</v>
      </c>
      <c r="F48" s="72" t="s">
        <v>994</v>
      </c>
      <c r="G48" s="87">
        <v>12.5</v>
      </c>
      <c r="H48" s="87">
        <v>4.6</v>
      </c>
      <c r="I48" s="84">
        <v>172.0</v>
      </c>
      <c r="J48" s="88" t="s">
        <v>838</v>
      </c>
      <c r="K48" s="87">
        <f t="shared" si="1"/>
        <v>0.4</v>
      </c>
      <c r="L48" s="89">
        <f t="shared" si="2"/>
        <v>0.12</v>
      </c>
      <c r="M48" s="90">
        <f t="shared" si="3"/>
        <v>0.048</v>
      </c>
      <c r="N48" s="91" t="s">
        <v>870</v>
      </c>
      <c r="O48" s="72"/>
      <c r="P48" s="91"/>
      <c r="Q48" s="92" t="s">
        <v>871</v>
      </c>
    </row>
    <row r="49" ht="23.25" customHeight="1">
      <c r="A49" s="84">
        <v>26.0</v>
      </c>
      <c r="B49" s="72" t="s">
        <v>1001</v>
      </c>
      <c r="C49" s="72" t="s">
        <v>848</v>
      </c>
      <c r="D49" s="72" t="s">
        <v>1003</v>
      </c>
      <c r="E49" s="72" t="s">
        <v>1004</v>
      </c>
      <c r="F49" s="72" t="s">
        <v>1005</v>
      </c>
      <c r="G49" s="87">
        <v>12.5</v>
      </c>
      <c r="H49" s="87">
        <v>4.7</v>
      </c>
      <c r="I49" s="84">
        <v>13.0</v>
      </c>
      <c r="J49" s="88" t="s">
        <v>838</v>
      </c>
      <c r="K49" s="87">
        <f t="shared" si="1"/>
        <v>0.4</v>
      </c>
      <c r="L49" s="89">
        <f t="shared" si="2"/>
        <v>0.12</v>
      </c>
      <c r="M49" s="90">
        <f t="shared" si="3"/>
        <v>0.048</v>
      </c>
      <c r="N49" s="91" t="s">
        <v>870</v>
      </c>
      <c r="O49" s="72"/>
      <c r="P49" s="91"/>
      <c r="Q49" s="92" t="s">
        <v>871</v>
      </c>
    </row>
    <row r="50" ht="15.0" customHeight="1">
      <c r="A50" s="84">
        <v>27.0</v>
      </c>
      <c r="B50" s="72" t="s">
        <v>1009</v>
      </c>
      <c r="C50" s="72" t="s">
        <v>852</v>
      </c>
      <c r="D50" s="72" t="s">
        <v>959</v>
      </c>
      <c r="E50" s="72" t="s">
        <v>1010</v>
      </c>
      <c r="F50" s="72" t="s">
        <v>1011</v>
      </c>
      <c r="G50" s="87">
        <v>12.6</v>
      </c>
      <c r="H50" s="87">
        <v>4.8</v>
      </c>
      <c r="I50" s="84">
        <v>22.0</v>
      </c>
      <c r="J50" s="88" t="s">
        <v>838</v>
      </c>
      <c r="K50" s="87">
        <f t="shared" si="1"/>
        <v>0.5</v>
      </c>
      <c r="L50" s="89">
        <f t="shared" si="2"/>
        <v>0.12</v>
      </c>
      <c r="M50" s="90">
        <f t="shared" si="3"/>
        <v>0.06</v>
      </c>
      <c r="N50" s="91" t="s">
        <v>870</v>
      </c>
      <c r="O50" s="72"/>
      <c r="P50" s="91"/>
      <c r="Q50" s="92" t="s">
        <v>871</v>
      </c>
    </row>
    <row r="51" ht="23.25" customHeight="1">
      <c r="A51" s="84">
        <v>28.0</v>
      </c>
      <c r="B51" s="72" t="s">
        <v>1013</v>
      </c>
      <c r="C51" s="72" t="s">
        <v>852</v>
      </c>
      <c r="D51" s="72" t="s">
        <v>959</v>
      </c>
      <c r="E51" s="72" t="s">
        <v>1010</v>
      </c>
      <c r="F51" s="72" t="s">
        <v>1014</v>
      </c>
      <c r="G51" s="87">
        <v>12.6</v>
      </c>
      <c r="H51" s="87">
        <v>5.0</v>
      </c>
      <c r="I51" s="84">
        <v>3.0</v>
      </c>
      <c r="J51" s="88" t="s">
        <v>838</v>
      </c>
      <c r="K51" s="87">
        <f t="shared" si="1"/>
        <v>0.5</v>
      </c>
      <c r="L51" s="89">
        <f t="shared" si="2"/>
        <v>0.12</v>
      </c>
      <c r="M51" s="90">
        <f t="shared" si="3"/>
        <v>0.06</v>
      </c>
      <c r="N51" s="91" t="s">
        <v>870</v>
      </c>
      <c r="O51" s="72"/>
      <c r="P51" s="91"/>
      <c r="Q51" s="92" t="s">
        <v>871</v>
      </c>
    </row>
    <row r="52" ht="15.0" customHeight="1">
      <c r="A52" s="84">
        <v>29.0</v>
      </c>
      <c r="B52" s="72" t="s">
        <v>1017</v>
      </c>
      <c r="C52" s="72" t="s">
        <v>836</v>
      </c>
      <c r="D52" s="72" t="s">
        <v>1018</v>
      </c>
      <c r="E52" s="72" t="s">
        <v>1019</v>
      </c>
      <c r="F52" s="72" t="s">
        <v>1020</v>
      </c>
      <c r="G52" s="87">
        <v>16.8</v>
      </c>
      <c r="H52" s="87">
        <v>4.5</v>
      </c>
      <c r="I52" s="84">
        <v>289.0</v>
      </c>
      <c r="J52" s="88" t="s">
        <v>838</v>
      </c>
      <c r="K52" s="87">
        <f t="shared" si="1"/>
        <v>0.5</v>
      </c>
      <c r="L52" s="89">
        <f t="shared" si="2"/>
        <v>0.12</v>
      </c>
      <c r="M52" s="90">
        <f t="shared" si="3"/>
        <v>0.06</v>
      </c>
      <c r="N52" s="91" t="s">
        <v>870</v>
      </c>
      <c r="O52" s="72"/>
      <c r="P52" s="91"/>
      <c r="Q52" s="92" t="s">
        <v>871</v>
      </c>
    </row>
    <row r="53" ht="15.0" customHeight="1">
      <c r="A53" s="84">
        <v>30.0</v>
      </c>
      <c r="B53" s="72" t="s">
        <v>1023</v>
      </c>
      <c r="C53" s="72" t="s">
        <v>844</v>
      </c>
      <c r="D53" s="72" t="s">
        <v>1018</v>
      </c>
      <c r="E53" s="72" t="s">
        <v>1024</v>
      </c>
      <c r="F53" s="72" t="s">
        <v>1025</v>
      </c>
      <c r="G53" s="87">
        <v>16.9</v>
      </c>
      <c r="H53" s="87">
        <v>4.5</v>
      </c>
      <c r="I53" s="84">
        <v>898.0</v>
      </c>
      <c r="J53" s="88" t="s">
        <v>838</v>
      </c>
      <c r="K53" s="87">
        <f t="shared" si="1"/>
        <v>0.6</v>
      </c>
      <c r="L53" s="89">
        <f t="shared" si="2"/>
        <v>0.12</v>
      </c>
      <c r="M53" s="90">
        <f t="shared" si="3"/>
        <v>0.072</v>
      </c>
      <c r="N53" s="91" t="s">
        <v>870</v>
      </c>
      <c r="O53" s="72"/>
      <c r="P53" s="91"/>
      <c r="Q53" s="92" t="s">
        <v>871</v>
      </c>
    </row>
    <row r="54" ht="23.25" customHeight="1">
      <c r="A54" s="84">
        <v>31.0</v>
      </c>
      <c r="B54" s="72" t="s">
        <v>1029</v>
      </c>
      <c r="C54" s="72" t="s">
        <v>848</v>
      </c>
      <c r="D54" s="72" t="s">
        <v>1030</v>
      </c>
      <c r="E54" s="72"/>
      <c r="F54" s="72" t="s">
        <v>1031</v>
      </c>
      <c r="G54" s="87">
        <v>17.3</v>
      </c>
      <c r="H54" s="87">
        <v>4.8</v>
      </c>
      <c r="I54" s="84">
        <v>22.0</v>
      </c>
      <c r="J54" s="88" t="s">
        <v>842</v>
      </c>
      <c r="K54" s="87">
        <f t="shared" si="1"/>
        <v>0.4</v>
      </c>
      <c r="L54" s="89">
        <f t="shared" si="2"/>
        <v>0.04</v>
      </c>
      <c r="M54" s="90">
        <f t="shared" si="3"/>
        <v>0.016</v>
      </c>
      <c r="N54" s="91" t="s">
        <v>870</v>
      </c>
      <c r="O54" s="72" t="s">
        <v>1033</v>
      </c>
      <c r="P54" s="91"/>
      <c r="Q54" s="92" t="s">
        <v>871</v>
      </c>
    </row>
    <row r="55" ht="23.25" customHeight="1">
      <c r="A55" s="84">
        <v>32.0</v>
      </c>
      <c r="B55" s="72" t="s">
        <v>1036</v>
      </c>
      <c r="C55" s="72" t="s">
        <v>848</v>
      </c>
      <c r="D55" s="72" t="s">
        <v>1037</v>
      </c>
      <c r="E55" s="72"/>
      <c r="F55" s="72" t="s">
        <v>1038</v>
      </c>
      <c r="G55" s="87">
        <v>17.4</v>
      </c>
      <c r="H55" s="87">
        <v>4.7</v>
      </c>
      <c r="I55" s="84">
        <v>112.0</v>
      </c>
      <c r="J55" s="88" t="s">
        <v>838</v>
      </c>
      <c r="K55" s="87">
        <f t="shared" si="1"/>
        <v>0.4</v>
      </c>
      <c r="L55" s="89">
        <f t="shared" si="2"/>
        <v>0.12</v>
      </c>
      <c r="M55" s="90">
        <f t="shared" si="3"/>
        <v>0.048</v>
      </c>
      <c r="N55" s="91" t="s">
        <v>870</v>
      </c>
      <c r="O55" s="72"/>
      <c r="P55" s="91"/>
      <c r="Q55" s="92" t="s">
        <v>871</v>
      </c>
    </row>
    <row r="56" ht="23.25" customHeight="1">
      <c r="A56" s="84">
        <v>33.0</v>
      </c>
      <c r="B56" s="72" t="s">
        <v>1042</v>
      </c>
      <c r="C56" s="72" t="s">
        <v>832</v>
      </c>
      <c r="D56" s="72" t="s">
        <v>1043</v>
      </c>
      <c r="E56" s="72" t="s">
        <v>1044</v>
      </c>
      <c r="F56" s="72" t="s">
        <v>1045</v>
      </c>
      <c r="G56" s="87">
        <v>17.5</v>
      </c>
      <c r="H56" s="87">
        <v>4.1</v>
      </c>
      <c r="I56" s="84">
        <v>1082.0</v>
      </c>
      <c r="J56" s="88" t="s">
        <v>838</v>
      </c>
      <c r="K56" s="87">
        <f t="shared" si="1"/>
        <v>1.5</v>
      </c>
      <c r="L56" s="89">
        <f t="shared" si="2"/>
        <v>0.12</v>
      </c>
      <c r="M56" s="90">
        <f t="shared" si="3"/>
        <v>0.18</v>
      </c>
      <c r="N56" s="91" t="s">
        <v>870</v>
      </c>
      <c r="O56" s="72" t="s">
        <v>1046</v>
      </c>
      <c r="P56" s="91"/>
      <c r="Q56" s="92" t="s">
        <v>871</v>
      </c>
    </row>
    <row r="57" ht="23.25" customHeight="1">
      <c r="A57" s="84">
        <v>34.0</v>
      </c>
      <c r="B57" s="72" t="s">
        <v>1050</v>
      </c>
      <c r="C57" s="72" t="s">
        <v>848</v>
      </c>
      <c r="D57" s="72" t="s">
        <v>1051</v>
      </c>
      <c r="E57" s="72" t="s">
        <v>1052</v>
      </c>
      <c r="F57" s="72" t="s">
        <v>1053</v>
      </c>
      <c r="G57" s="87">
        <v>19.7</v>
      </c>
      <c r="H57" s="87">
        <v>4.4</v>
      </c>
      <c r="I57" s="84">
        <v>185.0</v>
      </c>
      <c r="J57" s="88" t="s">
        <v>838</v>
      </c>
      <c r="K57" s="87">
        <f t="shared" si="1"/>
        <v>0.4</v>
      </c>
      <c r="L57" s="89">
        <f t="shared" si="2"/>
        <v>0.12</v>
      </c>
      <c r="M57" s="90">
        <f t="shared" si="3"/>
        <v>0.048</v>
      </c>
      <c r="N57" s="91" t="s">
        <v>870</v>
      </c>
      <c r="O57" s="72"/>
      <c r="P57" s="91"/>
      <c r="Q57" s="92" t="s">
        <v>871</v>
      </c>
    </row>
    <row r="58" ht="15.0" customHeight="1">
      <c r="A58" s="84">
        <v>35.0</v>
      </c>
      <c r="B58" s="72" t="s">
        <v>1056</v>
      </c>
      <c r="C58" s="72" t="s">
        <v>840</v>
      </c>
      <c r="D58" s="72" t="s">
        <v>1057</v>
      </c>
      <c r="E58" s="72" t="s">
        <v>1058</v>
      </c>
      <c r="F58" s="72" t="s">
        <v>1059</v>
      </c>
      <c r="G58" s="87">
        <v>20.5</v>
      </c>
      <c r="H58" s="87">
        <v>4.7</v>
      </c>
      <c r="I58" s="84">
        <v>69.0</v>
      </c>
      <c r="J58" s="88" t="s">
        <v>838</v>
      </c>
      <c r="K58" s="87">
        <f t="shared" si="1"/>
        <v>0.3</v>
      </c>
      <c r="L58" s="89">
        <f t="shared" si="2"/>
        <v>0.12</v>
      </c>
      <c r="M58" s="90">
        <f t="shared" si="3"/>
        <v>0.036</v>
      </c>
      <c r="N58" s="91" t="s">
        <v>870</v>
      </c>
      <c r="O58" s="72" t="s">
        <v>1061</v>
      </c>
      <c r="P58" s="91"/>
      <c r="Q58" s="92" t="s">
        <v>871</v>
      </c>
    </row>
    <row r="59" ht="23.25" customHeight="1">
      <c r="A59" s="84">
        <v>36.0</v>
      </c>
      <c r="B59" s="72" t="s">
        <v>1063</v>
      </c>
      <c r="C59" s="72" t="s">
        <v>848</v>
      </c>
      <c r="D59" s="72" t="s">
        <v>1064</v>
      </c>
      <c r="E59" s="72" t="s">
        <v>1065</v>
      </c>
      <c r="F59" s="72" t="s">
        <v>1066</v>
      </c>
      <c r="G59" s="87">
        <v>21.2</v>
      </c>
      <c r="H59" s="87">
        <v>4.3</v>
      </c>
      <c r="I59" s="84">
        <v>324.0</v>
      </c>
      <c r="J59" s="88" t="s">
        <v>838</v>
      </c>
      <c r="K59" s="87">
        <f t="shared" si="1"/>
        <v>0.4</v>
      </c>
      <c r="L59" s="89">
        <f t="shared" si="2"/>
        <v>0.12</v>
      </c>
      <c r="M59" s="90">
        <f t="shared" si="3"/>
        <v>0.048</v>
      </c>
      <c r="N59" s="91" t="s">
        <v>870</v>
      </c>
      <c r="O59" s="72"/>
      <c r="P59" s="91"/>
      <c r="Q59" s="92" t="s">
        <v>871</v>
      </c>
    </row>
    <row r="60" ht="23.25" customHeight="1">
      <c r="A60" s="84">
        <v>37.0</v>
      </c>
      <c r="B60" s="72" t="s">
        <v>1068</v>
      </c>
      <c r="C60" s="72" t="s">
        <v>840</v>
      </c>
      <c r="D60" s="72" t="s">
        <v>1069</v>
      </c>
      <c r="E60" s="72" t="s">
        <v>1070</v>
      </c>
      <c r="F60" s="72" t="s">
        <v>1071</v>
      </c>
      <c r="G60" s="87">
        <v>23.3</v>
      </c>
      <c r="H60" s="87">
        <v>4.4</v>
      </c>
      <c r="I60" s="84">
        <v>173.0</v>
      </c>
      <c r="J60" s="88" t="s">
        <v>838</v>
      </c>
      <c r="K60" s="87">
        <f t="shared" si="1"/>
        <v>0.3</v>
      </c>
      <c r="L60" s="89">
        <f t="shared" si="2"/>
        <v>0.12</v>
      </c>
      <c r="M60" s="90">
        <f t="shared" si="3"/>
        <v>0.036</v>
      </c>
      <c r="N60" s="91" t="s">
        <v>870</v>
      </c>
      <c r="O60" s="72" t="s">
        <v>1074</v>
      </c>
      <c r="P60" s="91"/>
      <c r="Q60" s="92" t="s">
        <v>871</v>
      </c>
    </row>
    <row r="61" ht="15.0" customHeight="1">
      <c r="A61" s="84">
        <v>38.0</v>
      </c>
      <c r="B61" s="72" t="s">
        <v>1076</v>
      </c>
      <c r="C61" s="72" t="s">
        <v>832</v>
      </c>
      <c r="D61" s="72" t="s">
        <v>1078</v>
      </c>
      <c r="E61" s="72" t="s">
        <v>1079</v>
      </c>
      <c r="F61" s="72"/>
      <c r="G61" s="87">
        <v>23.8</v>
      </c>
      <c r="H61" s="87">
        <v>4.4</v>
      </c>
      <c r="I61" s="84">
        <v>378.0</v>
      </c>
      <c r="J61" s="88" t="s">
        <v>838</v>
      </c>
      <c r="K61" s="87">
        <f t="shared" si="1"/>
        <v>1.5</v>
      </c>
      <c r="L61" s="89">
        <f t="shared" si="2"/>
        <v>0.12</v>
      </c>
      <c r="M61" s="90">
        <f t="shared" si="3"/>
        <v>0.18</v>
      </c>
      <c r="N61" s="91" t="s">
        <v>870</v>
      </c>
      <c r="O61" s="72"/>
      <c r="P61" s="91"/>
      <c r="Q61" s="92" t="s">
        <v>871</v>
      </c>
    </row>
    <row r="62" ht="23.25" customHeight="1">
      <c r="A62" s="84">
        <v>39.0</v>
      </c>
      <c r="B62" s="72" t="s">
        <v>1082</v>
      </c>
      <c r="C62" s="72" t="s">
        <v>832</v>
      </c>
      <c r="D62" s="72" t="s">
        <v>1078</v>
      </c>
      <c r="E62" s="72" t="s">
        <v>1083</v>
      </c>
      <c r="F62" s="72" t="s">
        <v>1084</v>
      </c>
      <c r="G62" s="87">
        <v>24.0</v>
      </c>
      <c r="H62" s="87">
        <v>4.6</v>
      </c>
      <c r="I62" s="84">
        <v>1201.0</v>
      </c>
      <c r="J62" s="88" t="s">
        <v>838</v>
      </c>
      <c r="K62" s="87">
        <f t="shared" si="1"/>
        <v>1.5</v>
      </c>
      <c r="L62" s="89">
        <f t="shared" si="2"/>
        <v>0.12</v>
      </c>
      <c r="M62" s="90">
        <f t="shared" si="3"/>
        <v>0.18</v>
      </c>
      <c r="N62" s="91" t="s">
        <v>870</v>
      </c>
      <c r="O62" s="72" t="s">
        <v>1085</v>
      </c>
      <c r="P62" s="91"/>
      <c r="Q62" s="92" t="s">
        <v>871</v>
      </c>
    </row>
    <row r="63" ht="15.0" customHeight="1">
      <c r="A63" s="84">
        <v>40.0</v>
      </c>
      <c r="B63" s="72" t="s">
        <v>1091</v>
      </c>
      <c r="C63" s="72" t="s">
        <v>832</v>
      </c>
      <c r="D63" s="72" t="s">
        <v>1078</v>
      </c>
      <c r="E63" s="72" t="s">
        <v>1092</v>
      </c>
      <c r="F63" s="72" t="s">
        <v>1093</v>
      </c>
      <c r="G63" s="87">
        <v>24.0</v>
      </c>
      <c r="H63" s="87">
        <v>4.5</v>
      </c>
      <c r="I63" s="84">
        <v>301.0</v>
      </c>
      <c r="J63" s="88" t="s">
        <v>838</v>
      </c>
      <c r="K63" s="87">
        <f t="shared" si="1"/>
        <v>1.5</v>
      </c>
      <c r="L63" s="89">
        <f t="shared" si="2"/>
        <v>0.12</v>
      </c>
      <c r="M63" s="90">
        <f t="shared" si="3"/>
        <v>0.18</v>
      </c>
      <c r="N63" s="91" t="s">
        <v>870</v>
      </c>
      <c r="O63" s="72"/>
      <c r="P63" s="91"/>
      <c r="Q63" s="92" t="s">
        <v>871</v>
      </c>
    </row>
    <row r="64" ht="15.0" customHeight="1">
      <c r="A64" s="84">
        <v>41.0</v>
      </c>
      <c r="B64" s="72" t="s">
        <v>1097</v>
      </c>
      <c r="C64" s="72" t="s">
        <v>844</v>
      </c>
      <c r="D64" s="72" t="s">
        <v>1078</v>
      </c>
      <c r="E64" s="72" t="s">
        <v>1098</v>
      </c>
      <c r="F64" s="72" t="s">
        <v>1099</v>
      </c>
      <c r="G64" s="87">
        <v>24.2</v>
      </c>
      <c r="H64" s="87">
        <v>4.7</v>
      </c>
      <c r="I64" s="84">
        <v>247.0</v>
      </c>
      <c r="J64" s="88" t="s">
        <v>838</v>
      </c>
      <c r="K64" s="87">
        <f t="shared" si="1"/>
        <v>0.6</v>
      </c>
      <c r="L64" s="89">
        <f t="shared" si="2"/>
        <v>0.12</v>
      </c>
      <c r="M64" s="90">
        <f t="shared" si="3"/>
        <v>0.072</v>
      </c>
      <c r="N64" s="91" t="s">
        <v>870</v>
      </c>
      <c r="O64" s="72"/>
      <c r="P64" s="91"/>
      <c r="Q64" s="92" t="s">
        <v>871</v>
      </c>
    </row>
    <row r="65" ht="23.25" customHeight="1">
      <c r="A65" s="84">
        <v>42.0</v>
      </c>
      <c r="B65" s="72" t="s">
        <v>1103</v>
      </c>
      <c r="C65" s="72" t="s">
        <v>850</v>
      </c>
      <c r="D65" s="72" t="s">
        <v>1106</v>
      </c>
      <c r="E65" s="72" t="s">
        <v>1107</v>
      </c>
      <c r="F65" s="72" t="s">
        <v>1108</v>
      </c>
      <c r="G65" s="87">
        <v>25.0</v>
      </c>
      <c r="H65" s="87">
        <v>4.5</v>
      </c>
      <c r="I65" s="84">
        <v>627.0</v>
      </c>
      <c r="J65" s="88" t="s">
        <v>838</v>
      </c>
      <c r="K65" s="87">
        <f t="shared" si="1"/>
        <v>0.5</v>
      </c>
      <c r="L65" s="89">
        <f t="shared" si="2"/>
        <v>0.12</v>
      </c>
      <c r="M65" s="90">
        <f t="shared" si="3"/>
        <v>0.06</v>
      </c>
      <c r="N65" s="91" t="s">
        <v>870</v>
      </c>
      <c r="O65" s="72" t="s">
        <v>1109</v>
      </c>
      <c r="P65" s="91"/>
      <c r="Q65" s="92" t="s">
        <v>871</v>
      </c>
    </row>
    <row r="66" ht="15.0" customHeight="1">
      <c r="A66" s="84">
        <v>43.0</v>
      </c>
      <c r="B66" s="72" t="s">
        <v>1112</v>
      </c>
      <c r="C66" s="72" t="s">
        <v>850</v>
      </c>
      <c r="D66" s="72" t="s">
        <v>1106</v>
      </c>
      <c r="E66" s="72" t="s">
        <v>1113</v>
      </c>
      <c r="F66" s="72" t="s">
        <v>1114</v>
      </c>
      <c r="G66" s="87">
        <v>25.2</v>
      </c>
      <c r="H66" s="87">
        <v>4.4</v>
      </c>
      <c r="I66" s="84">
        <v>502.0</v>
      </c>
      <c r="J66" s="88" t="s">
        <v>838</v>
      </c>
      <c r="K66" s="87">
        <f t="shared" si="1"/>
        <v>0.5</v>
      </c>
      <c r="L66" s="89">
        <f t="shared" si="2"/>
        <v>0.12</v>
      </c>
      <c r="M66" s="90">
        <f t="shared" si="3"/>
        <v>0.06</v>
      </c>
      <c r="N66" s="91" t="s">
        <v>870</v>
      </c>
      <c r="O66" s="72" t="s">
        <v>1115</v>
      </c>
      <c r="P66" s="91"/>
      <c r="Q66" s="92" t="s">
        <v>871</v>
      </c>
    </row>
    <row r="67" ht="23.25" customHeight="1">
      <c r="A67" s="84">
        <v>44.0</v>
      </c>
      <c r="B67" s="72" t="s">
        <v>1118</v>
      </c>
      <c r="C67" s="72" t="s">
        <v>848</v>
      </c>
      <c r="D67" s="72" t="s">
        <v>1106</v>
      </c>
      <c r="E67" s="72" t="s">
        <v>1119</v>
      </c>
      <c r="F67" s="72" t="s">
        <v>1120</v>
      </c>
      <c r="G67" s="87">
        <v>25.5</v>
      </c>
      <c r="H67" s="87">
        <v>4.4</v>
      </c>
      <c r="I67" s="84">
        <v>190.0</v>
      </c>
      <c r="J67" s="88" t="s">
        <v>838</v>
      </c>
      <c r="K67" s="87">
        <f t="shared" si="1"/>
        <v>0.4</v>
      </c>
      <c r="L67" s="89">
        <f t="shared" si="2"/>
        <v>0.12</v>
      </c>
      <c r="M67" s="90">
        <f t="shared" si="3"/>
        <v>0.048</v>
      </c>
      <c r="N67" s="91" t="s">
        <v>870</v>
      </c>
      <c r="O67" s="72"/>
      <c r="P67" s="91"/>
      <c r="Q67" s="92" t="s">
        <v>871</v>
      </c>
    </row>
    <row r="68" ht="23.25" customHeight="1">
      <c r="A68" s="84">
        <v>45.0</v>
      </c>
      <c r="B68" s="72" t="s">
        <v>1123</v>
      </c>
      <c r="C68" s="72" t="s">
        <v>850</v>
      </c>
      <c r="D68" s="72" t="s">
        <v>1124</v>
      </c>
      <c r="E68" s="72" t="s">
        <v>1125</v>
      </c>
      <c r="F68" s="72" t="s">
        <v>1126</v>
      </c>
      <c r="G68" s="87">
        <v>26.1</v>
      </c>
      <c r="H68" s="87">
        <v>4.6</v>
      </c>
      <c r="I68" s="84">
        <v>482.0</v>
      </c>
      <c r="J68" s="88" t="s">
        <v>838</v>
      </c>
      <c r="K68" s="87">
        <f t="shared" si="1"/>
        <v>0.5</v>
      </c>
      <c r="L68" s="89">
        <f t="shared" si="2"/>
        <v>0.12</v>
      </c>
      <c r="M68" s="90">
        <f t="shared" si="3"/>
        <v>0.06</v>
      </c>
      <c r="N68" s="91" t="s">
        <v>870</v>
      </c>
      <c r="O68" s="72" t="s">
        <v>1127</v>
      </c>
      <c r="P68" s="91"/>
      <c r="Q68" s="92" t="s">
        <v>871</v>
      </c>
    </row>
    <row r="69" ht="23.25" customHeight="1">
      <c r="A69" s="84">
        <v>46.0</v>
      </c>
      <c r="B69" s="72" t="s">
        <v>1131</v>
      </c>
      <c r="C69" s="72" t="s">
        <v>850</v>
      </c>
      <c r="D69" s="72" t="s">
        <v>1106</v>
      </c>
      <c r="E69" s="72" t="s">
        <v>1132</v>
      </c>
      <c r="F69" s="72" t="s">
        <v>1133</v>
      </c>
      <c r="G69" s="87">
        <v>26.4</v>
      </c>
      <c r="H69" s="87">
        <v>4.6</v>
      </c>
      <c r="I69" s="84">
        <v>1554.0</v>
      </c>
      <c r="J69" s="88" t="s">
        <v>838</v>
      </c>
      <c r="K69" s="87">
        <f t="shared" si="1"/>
        <v>0.5</v>
      </c>
      <c r="L69" s="89">
        <f t="shared" si="2"/>
        <v>0.12</v>
      </c>
      <c r="M69" s="90">
        <f t="shared" si="3"/>
        <v>0.06</v>
      </c>
      <c r="N69" s="91" t="s">
        <v>870</v>
      </c>
      <c r="O69" s="72" t="s">
        <v>1134</v>
      </c>
      <c r="P69" s="91"/>
      <c r="Q69" s="92" t="s">
        <v>871</v>
      </c>
    </row>
    <row r="70" ht="23.25" customHeight="1">
      <c r="A70" s="84">
        <v>47.0</v>
      </c>
      <c r="B70" s="72" t="s">
        <v>1135</v>
      </c>
      <c r="C70" s="72" t="s">
        <v>852</v>
      </c>
      <c r="D70" s="72" t="s">
        <v>1136</v>
      </c>
      <c r="E70" s="72" t="s">
        <v>1137</v>
      </c>
      <c r="F70" s="72" t="s">
        <v>1138</v>
      </c>
      <c r="G70" s="87">
        <v>35.8</v>
      </c>
      <c r="H70" s="87">
        <v>4.7</v>
      </c>
      <c r="I70" s="84">
        <v>234.0</v>
      </c>
      <c r="J70" s="88" t="s">
        <v>842</v>
      </c>
      <c r="K70" s="87">
        <f t="shared" si="1"/>
        <v>0.5</v>
      </c>
      <c r="L70" s="89">
        <f t="shared" si="2"/>
        <v>0.04</v>
      </c>
      <c r="M70" s="90">
        <f t="shared" si="3"/>
        <v>0.02</v>
      </c>
      <c r="N70" s="91" t="s">
        <v>870</v>
      </c>
      <c r="O70" s="72" t="s">
        <v>1139</v>
      </c>
      <c r="P70" s="91"/>
      <c r="Q70" s="92" t="s">
        <v>871</v>
      </c>
    </row>
    <row r="71" ht="15.0" customHeight="1">
      <c r="A71" s="84">
        <v>48.0</v>
      </c>
      <c r="B71" s="72" t="s">
        <v>1140</v>
      </c>
      <c r="C71" s="72" t="s">
        <v>852</v>
      </c>
      <c r="D71" s="72" t="s">
        <v>1141</v>
      </c>
      <c r="E71" s="72" t="s">
        <v>1142</v>
      </c>
      <c r="F71" s="72" t="s">
        <v>1143</v>
      </c>
      <c r="G71" s="87">
        <v>54.4</v>
      </c>
      <c r="H71" s="87">
        <v>4.5</v>
      </c>
      <c r="I71" s="84">
        <v>62.0</v>
      </c>
      <c r="J71" s="88" t="s">
        <v>846</v>
      </c>
      <c r="K71" s="87">
        <f t="shared" si="1"/>
        <v>0</v>
      </c>
      <c r="L71" s="89">
        <f t="shared" si="2"/>
        <v>0</v>
      </c>
      <c r="M71" s="90">
        <f t="shared" si="3"/>
        <v>0</v>
      </c>
      <c r="N71" s="91" t="s">
        <v>870</v>
      </c>
      <c r="O71" s="72" t="s">
        <v>1144</v>
      </c>
      <c r="P71" s="91"/>
      <c r="Q71" s="92" t="s">
        <v>871</v>
      </c>
    </row>
    <row r="72" ht="15.0" customHeight="1">
      <c r="A72" s="84">
        <v>49.0</v>
      </c>
      <c r="B72" s="72" t="s">
        <v>1145</v>
      </c>
      <c r="C72" s="72" t="s">
        <v>852</v>
      </c>
      <c r="D72" s="72" t="s">
        <v>1146</v>
      </c>
      <c r="E72" s="72" t="s">
        <v>1147</v>
      </c>
      <c r="F72" s="72" t="s">
        <v>1148</v>
      </c>
      <c r="G72" s="87">
        <v>58.3</v>
      </c>
      <c r="H72" s="87">
        <v>5.0</v>
      </c>
      <c r="I72" s="84">
        <v>2.0</v>
      </c>
      <c r="J72" s="88" t="s">
        <v>846</v>
      </c>
      <c r="K72" s="87">
        <f t="shared" si="1"/>
        <v>0</v>
      </c>
      <c r="L72" s="89">
        <f t="shared" si="2"/>
        <v>0</v>
      </c>
      <c r="M72" s="90">
        <f t="shared" si="3"/>
        <v>0</v>
      </c>
      <c r="N72" s="91" t="s">
        <v>870</v>
      </c>
      <c r="O72" s="72" t="s">
        <v>1144</v>
      </c>
      <c r="P72" s="91"/>
      <c r="Q72" s="92" t="s">
        <v>871</v>
      </c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ht="15.0" customHeight="1">
      <c r="A74" s="70" t="s">
        <v>1149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</row>
    <row r="75" ht="23.25" customHeight="1">
      <c r="A75" s="4" t="s">
        <v>855</v>
      </c>
      <c r="B75" s="4" t="s">
        <v>152</v>
      </c>
      <c r="C75" s="4" t="s">
        <v>440</v>
      </c>
      <c r="D75" s="4" t="s">
        <v>127</v>
      </c>
      <c r="E75" s="4" t="s">
        <v>856</v>
      </c>
      <c r="F75" s="4" t="s">
        <v>857</v>
      </c>
      <c r="G75" s="4" t="s">
        <v>858</v>
      </c>
      <c r="H75" s="4" t="s">
        <v>859</v>
      </c>
      <c r="I75" s="4" t="s">
        <v>860</v>
      </c>
      <c r="J75" s="96"/>
      <c r="K75" s="97"/>
      <c r="L75" s="97"/>
      <c r="M75" s="97"/>
      <c r="N75" s="98"/>
      <c r="O75" s="99" t="s">
        <v>828</v>
      </c>
      <c r="P75" s="2"/>
      <c r="Q75" s="99" t="s">
        <v>865</v>
      </c>
    </row>
    <row r="76" ht="23.25" customHeight="1">
      <c r="A76" s="84">
        <v>1.0</v>
      </c>
      <c r="B76" s="72" t="s">
        <v>1151</v>
      </c>
      <c r="C76" s="72" t="s">
        <v>1152</v>
      </c>
      <c r="D76" s="72" t="s">
        <v>1153</v>
      </c>
      <c r="E76" s="72" t="s">
        <v>1154</v>
      </c>
      <c r="F76" s="72" t="s">
        <v>1155</v>
      </c>
      <c r="G76" s="87">
        <v>9.2</v>
      </c>
      <c r="H76" s="84">
        <v>4.4</v>
      </c>
      <c r="I76" s="84">
        <v>34.0</v>
      </c>
      <c r="J76" s="2"/>
      <c r="K76" s="2"/>
      <c r="L76" s="2"/>
      <c r="M76" s="2"/>
      <c r="N76" s="2"/>
      <c r="O76" s="10" t="s">
        <v>1156</v>
      </c>
      <c r="P76" s="2"/>
      <c r="Q76" s="92" t="s">
        <v>871</v>
      </c>
    </row>
    <row r="77" ht="15.0" customHeight="1">
      <c r="A77" s="84">
        <v>2.0</v>
      </c>
      <c r="B77" s="72" t="s">
        <v>1158</v>
      </c>
      <c r="C77" s="72" t="s">
        <v>1152</v>
      </c>
      <c r="D77" s="72" t="s">
        <v>1159</v>
      </c>
      <c r="E77" s="72" t="s">
        <v>1160</v>
      </c>
      <c r="F77" s="72" t="s">
        <v>1161</v>
      </c>
      <c r="G77" s="87">
        <v>17.7</v>
      </c>
      <c r="H77" s="84">
        <v>4.8</v>
      </c>
      <c r="I77" s="84">
        <v>66.0</v>
      </c>
      <c r="J77" s="2"/>
      <c r="K77" s="2"/>
      <c r="L77" s="2"/>
      <c r="M77" s="2"/>
      <c r="N77" s="2"/>
      <c r="O77" s="10" t="s">
        <v>1162</v>
      </c>
      <c r="P77" s="2"/>
      <c r="Q77" s="92" t="s">
        <v>871</v>
      </c>
    </row>
    <row r="78" ht="23.25" customHeight="1">
      <c r="A78" s="84">
        <v>3.0</v>
      </c>
      <c r="B78" s="72" t="s">
        <v>1163</v>
      </c>
      <c r="C78" s="72" t="s">
        <v>1152</v>
      </c>
      <c r="D78" s="72" t="s">
        <v>1164</v>
      </c>
      <c r="E78" s="72" t="s">
        <v>1165</v>
      </c>
      <c r="F78" s="72" t="s">
        <v>1166</v>
      </c>
      <c r="G78" s="87">
        <v>17.8</v>
      </c>
      <c r="H78" s="84">
        <v>4.6</v>
      </c>
      <c r="I78" s="84">
        <v>97.0</v>
      </c>
      <c r="J78" s="2"/>
      <c r="K78" s="2"/>
      <c r="L78" s="2"/>
      <c r="M78" s="2"/>
      <c r="N78" s="2"/>
      <c r="O78" s="10" t="s">
        <v>1167</v>
      </c>
      <c r="P78" s="2"/>
      <c r="Q78" s="92" t="s">
        <v>871</v>
      </c>
    </row>
    <row r="79" ht="15.0" customHeight="1">
      <c r="A79" s="84">
        <v>4.0</v>
      </c>
      <c r="B79" s="72" t="s">
        <v>1168</v>
      </c>
      <c r="C79" s="72" t="s">
        <v>1152</v>
      </c>
      <c r="D79" s="72" t="s">
        <v>1169</v>
      </c>
      <c r="E79" s="72" t="s">
        <v>1170</v>
      </c>
      <c r="F79" s="72" t="s">
        <v>1171</v>
      </c>
      <c r="G79" s="87">
        <v>20.2</v>
      </c>
      <c r="H79" s="84">
        <v>4.8</v>
      </c>
      <c r="I79" s="84">
        <v>207.0</v>
      </c>
      <c r="J79" s="2"/>
      <c r="K79" s="2"/>
      <c r="L79" s="2"/>
      <c r="M79" s="2"/>
      <c r="N79" s="2"/>
      <c r="O79" s="10" t="s">
        <v>1162</v>
      </c>
      <c r="P79" s="2"/>
      <c r="Q79" s="92" t="s">
        <v>871</v>
      </c>
    </row>
    <row r="80" ht="15.0" customHeight="1">
      <c r="A80" s="84">
        <v>5.0</v>
      </c>
      <c r="B80" s="72" t="s">
        <v>1172</v>
      </c>
      <c r="C80" s="72" t="s">
        <v>1152</v>
      </c>
      <c r="D80" s="72" t="s">
        <v>1173</v>
      </c>
      <c r="E80" s="72" t="s">
        <v>1174</v>
      </c>
      <c r="F80" s="72" t="s">
        <v>1175</v>
      </c>
      <c r="G80" s="87">
        <v>21.3</v>
      </c>
      <c r="H80" s="84">
        <v>4.8</v>
      </c>
      <c r="I80" s="84">
        <v>89.0</v>
      </c>
      <c r="J80" s="2"/>
      <c r="K80" s="2"/>
      <c r="L80" s="2"/>
      <c r="M80" s="2"/>
      <c r="N80" s="2"/>
      <c r="O80" s="10" t="s">
        <v>1162</v>
      </c>
      <c r="P80" s="2"/>
      <c r="Q80" s="92" t="s">
        <v>871</v>
      </c>
    </row>
    <row r="81" ht="15.0" customHeight="1">
      <c r="A81" s="84">
        <v>6.0</v>
      </c>
      <c r="B81" s="72" t="s">
        <v>1176</v>
      </c>
      <c r="C81" s="72" t="s">
        <v>1152</v>
      </c>
      <c r="D81" s="72" t="s">
        <v>1177</v>
      </c>
      <c r="E81" s="72" t="s">
        <v>1178</v>
      </c>
      <c r="F81" s="72" t="s">
        <v>1179</v>
      </c>
      <c r="G81" s="87">
        <v>30.1</v>
      </c>
      <c r="H81" s="84">
        <v>4.8</v>
      </c>
      <c r="I81" s="84">
        <v>45.0</v>
      </c>
      <c r="J81" s="2"/>
      <c r="K81" s="2"/>
      <c r="L81" s="2"/>
      <c r="M81" s="2"/>
      <c r="N81" s="2"/>
      <c r="O81" s="10" t="s">
        <v>1162</v>
      </c>
      <c r="P81" s="2"/>
      <c r="Q81" s="92" t="s">
        <v>871</v>
      </c>
    </row>
    <row r="82" ht="15.0" customHeight="1">
      <c r="A82" s="84">
        <v>7.0</v>
      </c>
      <c r="B82" s="72" t="s">
        <v>1180</v>
      </c>
      <c r="C82" s="72" t="s">
        <v>1152</v>
      </c>
      <c r="D82" s="72" t="s">
        <v>1181</v>
      </c>
      <c r="E82" s="72" t="s">
        <v>1182</v>
      </c>
      <c r="F82" s="72" t="s">
        <v>1183</v>
      </c>
      <c r="G82" s="87">
        <v>32.2</v>
      </c>
      <c r="H82" s="84">
        <v>5.0</v>
      </c>
      <c r="I82" s="84">
        <v>25.0</v>
      </c>
      <c r="J82" s="2"/>
      <c r="K82" s="2"/>
      <c r="L82" s="2"/>
      <c r="M82" s="2"/>
      <c r="N82" s="2"/>
      <c r="O82" s="10" t="s">
        <v>1162</v>
      </c>
      <c r="P82" s="2"/>
      <c r="Q82" s="92" t="s">
        <v>871</v>
      </c>
    </row>
    <row r="83" ht="15.0" customHeight="1">
      <c r="A83" s="84">
        <v>8.0</v>
      </c>
      <c r="B83" s="72" t="s">
        <v>1184</v>
      </c>
      <c r="C83" s="72" t="s">
        <v>1152</v>
      </c>
      <c r="D83" s="72" t="s">
        <v>1185</v>
      </c>
      <c r="E83" s="72" t="s">
        <v>1186</v>
      </c>
      <c r="F83" s="72" t="s">
        <v>1187</v>
      </c>
      <c r="G83" s="87">
        <v>50.0</v>
      </c>
      <c r="H83" s="84">
        <v>4.6</v>
      </c>
      <c r="I83" s="84">
        <v>77.0</v>
      </c>
      <c r="J83" s="2"/>
      <c r="K83" s="2"/>
      <c r="L83" s="2"/>
      <c r="M83" s="2"/>
      <c r="N83" s="2"/>
      <c r="O83" s="10" t="s">
        <v>1188</v>
      </c>
      <c r="P83" s="2"/>
      <c r="Q83" s="92" t="s">
        <v>871</v>
      </c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ht="30.0" customHeight="1">
      <c r="A85" s="69" t="s">
        <v>1189</v>
      </c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mergeCells count="16">
    <mergeCell ref="M14:Q14"/>
    <mergeCell ref="M15:Q15"/>
    <mergeCell ref="J75:N75"/>
    <mergeCell ref="A85:Q85"/>
    <mergeCell ref="D16:I16"/>
    <mergeCell ref="M16:Q16"/>
    <mergeCell ref="D17:I17"/>
    <mergeCell ref="D18:I18"/>
    <mergeCell ref="D19:I19"/>
    <mergeCell ref="A2:Q2"/>
    <mergeCell ref="D12:I12"/>
    <mergeCell ref="M12:Q12"/>
    <mergeCell ref="D13:I13"/>
    <mergeCell ref="M13:Q13"/>
    <mergeCell ref="D14:I14"/>
    <mergeCell ref="D15:I15"/>
  </mergeCells>
  <dataValidations>
    <dataValidation type="list" allowBlank="1" sqref="J24:J72">
      <formula1>"A,B,C,Escl."</formula1>
    </dataValidation>
    <dataValidation type="list" allowBlank="1" sqref="N24:N72">
      <formula1>"Da contattare,Contattato,Interessato,Prova/campione,Cliente,Non interessato"</formula1>
    </dataValidation>
  </dataValidations>
  <hyperlinks>
    <hyperlink r:id="rId1" ref="Q24"/>
    <hyperlink r:id="rId2" ref="Q25"/>
    <hyperlink r:id="rId3" ref="Q26"/>
    <hyperlink r:id="rId4" ref="Q27"/>
    <hyperlink r:id="rId5" ref="Q28"/>
    <hyperlink r:id="rId6" ref="Q29"/>
    <hyperlink r:id="rId7" ref="Q30"/>
    <hyperlink r:id="rId8" ref="Q31"/>
    <hyperlink r:id="rId9" ref="Q32"/>
    <hyperlink r:id="rId10" ref="Q33"/>
    <hyperlink r:id="rId11" ref="Q34"/>
    <hyperlink r:id="rId12" ref="Q35"/>
    <hyperlink r:id="rId13" ref="Q36"/>
    <hyperlink r:id="rId14" ref="Q37"/>
    <hyperlink r:id="rId15" ref="Q38"/>
    <hyperlink r:id="rId16" ref="Q39"/>
    <hyperlink r:id="rId17" ref="Q40"/>
    <hyperlink r:id="rId18" ref="Q41"/>
    <hyperlink r:id="rId19" ref="Q42"/>
    <hyperlink r:id="rId20" ref="Q43"/>
    <hyperlink r:id="rId21" ref="Q44"/>
    <hyperlink r:id="rId22" ref="Q45"/>
    <hyperlink r:id="rId23" ref="Q46"/>
    <hyperlink r:id="rId24" ref="Q47"/>
    <hyperlink r:id="rId25" ref="Q48"/>
    <hyperlink r:id="rId26" ref="Q49"/>
    <hyperlink r:id="rId27" ref="Q50"/>
    <hyperlink r:id="rId28" ref="Q51"/>
    <hyperlink r:id="rId29" ref="Q52"/>
    <hyperlink r:id="rId30" ref="Q53"/>
    <hyperlink r:id="rId31" ref="Q54"/>
    <hyperlink r:id="rId32" ref="Q55"/>
    <hyperlink r:id="rId33" ref="Q56"/>
    <hyperlink r:id="rId34" ref="Q57"/>
    <hyperlink r:id="rId35" ref="Q58"/>
    <hyperlink r:id="rId36" ref="Q59"/>
    <hyperlink r:id="rId37" ref="Q60"/>
    <hyperlink r:id="rId38" ref="Q61"/>
    <hyperlink r:id="rId39" ref="Q62"/>
    <hyperlink r:id="rId40" ref="Q63"/>
    <hyperlink r:id="rId41" ref="Q64"/>
    <hyperlink r:id="rId42" ref="Q65"/>
    <hyperlink r:id="rId43" ref="Q66"/>
    <hyperlink r:id="rId44" ref="Q67"/>
    <hyperlink r:id="rId45" ref="Q68"/>
    <hyperlink r:id="rId46" ref="Q69"/>
    <hyperlink r:id="rId47" ref="Q70"/>
    <hyperlink r:id="rId48" ref="Q71"/>
    <hyperlink r:id="rId49" ref="Q72"/>
    <hyperlink r:id="rId50" ref="Q76"/>
    <hyperlink r:id="rId51" ref="Q77"/>
    <hyperlink r:id="rId52" ref="Q78"/>
    <hyperlink r:id="rId53" ref="Q79"/>
    <hyperlink r:id="rId54" ref="Q80"/>
    <hyperlink r:id="rId55" ref="Q81"/>
    <hyperlink r:id="rId56" ref="Q82"/>
    <hyperlink r:id="rId57" ref="Q83"/>
  </hyperlinks>
  <printOptions/>
  <pageMargins bottom="1.0" footer="0.0" header="0.0" left="0.75" right="0.75" top="1.0"/>
  <pageSetup fitToHeight="0" orientation="landscape"/>
  <drawing r:id="rId5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2.0"/>
    <col customWidth="1" min="2" max="2" width="24.0"/>
    <col customWidth="1" min="3" max="14" width="5.0"/>
  </cols>
  <sheetData>
    <row r="1" ht="18.0" customHeight="1">
      <c r="A1" s="1" t="s">
        <v>893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894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5.0" customHeight="1">
      <c r="A4" s="4" t="s">
        <v>898</v>
      </c>
      <c r="B4" s="4" t="s">
        <v>899</v>
      </c>
      <c r="C4" s="4" t="s">
        <v>900</v>
      </c>
      <c r="D4" s="4" t="s">
        <v>901</v>
      </c>
      <c r="E4" s="4" t="s">
        <v>902</v>
      </c>
      <c r="F4" s="4" t="s">
        <v>903</v>
      </c>
      <c r="G4" s="4" t="s">
        <v>904</v>
      </c>
      <c r="H4" s="4" t="s">
        <v>905</v>
      </c>
      <c r="I4" s="4" t="s">
        <v>906</v>
      </c>
      <c r="J4" s="4" t="s">
        <v>907</v>
      </c>
      <c r="K4" s="4" t="s">
        <v>908</v>
      </c>
      <c r="L4" s="4" t="s">
        <v>909</v>
      </c>
      <c r="M4" s="4" t="s">
        <v>910</v>
      </c>
      <c r="N4" s="4" t="s">
        <v>911</v>
      </c>
    </row>
    <row r="5" ht="30.0" customHeight="1">
      <c r="A5" s="5" t="s">
        <v>912</v>
      </c>
      <c r="B5" s="6" t="s">
        <v>913</v>
      </c>
      <c r="C5" s="93"/>
      <c r="D5" s="93"/>
      <c r="E5" s="93"/>
      <c r="F5" s="6"/>
      <c r="G5" s="6"/>
      <c r="H5" s="6"/>
      <c r="I5" s="6"/>
      <c r="J5" s="6"/>
      <c r="K5" s="6"/>
      <c r="L5" s="6"/>
      <c r="M5" s="6"/>
      <c r="N5" s="6"/>
    </row>
    <row r="6" ht="30.0" customHeight="1">
      <c r="A6" s="5" t="s">
        <v>914</v>
      </c>
      <c r="B6" s="6" t="s">
        <v>915</v>
      </c>
      <c r="C6" s="93"/>
      <c r="D6" s="93"/>
      <c r="E6" s="93"/>
      <c r="F6" s="6"/>
      <c r="G6" s="6"/>
      <c r="H6" s="6"/>
      <c r="I6" s="6"/>
      <c r="J6" s="6"/>
      <c r="K6" s="6"/>
      <c r="L6" s="6"/>
      <c r="M6" s="6"/>
      <c r="N6" s="6"/>
    </row>
    <row r="7" ht="30.0" customHeight="1">
      <c r="A7" s="5" t="s">
        <v>916</v>
      </c>
      <c r="B7" s="6" t="s">
        <v>917</v>
      </c>
      <c r="C7" s="6"/>
      <c r="D7" s="93"/>
      <c r="E7" s="93"/>
      <c r="F7" s="6"/>
      <c r="G7" s="6"/>
      <c r="H7" s="6"/>
      <c r="I7" s="6"/>
      <c r="J7" s="6"/>
      <c r="K7" s="6"/>
      <c r="L7" s="6"/>
      <c r="M7" s="6"/>
      <c r="N7" s="6"/>
    </row>
    <row r="8" ht="30.0" customHeight="1">
      <c r="A8" s="5" t="s">
        <v>918</v>
      </c>
      <c r="B8" s="6" t="s">
        <v>919</v>
      </c>
      <c r="C8" s="6"/>
      <c r="D8" s="93"/>
      <c r="E8" s="93"/>
      <c r="F8" s="6"/>
      <c r="G8" s="6"/>
      <c r="H8" s="6"/>
      <c r="I8" s="6"/>
      <c r="J8" s="6"/>
      <c r="K8" s="6"/>
      <c r="L8" s="6"/>
      <c r="M8" s="6"/>
      <c r="N8" s="6"/>
    </row>
    <row r="9" ht="30.0" customHeight="1">
      <c r="A9" s="5" t="s">
        <v>921</v>
      </c>
      <c r="B9" s="6" t="s">
        <v>923</v>
      </c>
      <c r="C9" s="6"/>
      <c r="D9" s="6"/>
      <c r="E9" s="93"/>
      <c r="F9" s="6"/>
      <c r="G9" s="6"/>
      <c r="H9" s="6"/>
      <c r="I9" s="6"/>
      <c r="J9" s="6"/>
      <c r="K9" s="6"/>
      <c r="L9" s="6"/>
      <c r="M9" s="6"/>
      <c r="N9" s="6"/>
    </row>
    <row r="10" ht="30.0" customHeight="1">
      <c r="A10" s="5" t="s">
        <v>925</v>
      </c>
      <c r="B10" s="6" t="s">
        <v>926</v>
      </c>
      <c r="C10" s="6"/>
      <c r="D10" s="6"/>
      <c r="E10" s="6"/>
      <c r="F10" s="93"/>
      <c r="G10" s="93"/>
      <c r="H10" s="93"/>
      <c r="I10" s="6"/>
      <c r="J10" s="6"/>
      <c r="K10" s="6"/>
      <c r="L10" s="6"/>
      <c r="M10" s="6"/>
      <c r="N10" s="6"/>
    </row>
    <row r="11" ht="30.0" customHeight="1">
      <c r="A11" s="5" t="s">
        <v>927</v>
      </c>
      <c r="B11" s="6" t="s">
        <v>919</v>
      </c>
      <c r="C11" s="6"/>
      <c r="D11" s="6"/>
      <c r="E11" s="6"/>
      <c r="F11" s="93"/>
      <c r="G11" s="93"/>
      <c r="H11" s="93"/>
      <c r="I11" s="93"/>
      <c r="J11" s="6"/>
      <c r="K11" s="6"/>
      <c r="L11" s="6"/>
      <c r="M11" s="6"/>
      <c r="N11" s="6"/>
    </row>
    <row r="12" ht="30.0" customHeight="1">
      <c r="A12" s="5" t="s">
        <v>928</v>
      </c>
      <c r="B12" s="6" t="s">
        <v>929</v>
      </c>
      <c r="C12" s="6"/>
      <c r="D12" s="6"/>
      <c r="E12" s="6"/>
      <c r="F12" s="6"/>
      <c r="G12" s="93"/>
      <c r="H12" s="93"/>
      <c r="I12" s="93"/>
      <c r="J12" s="6"/>
      <c r="K12" s="6"/>
      <c r="L12" s="6"/>
      <c r="M12" s="6"/>
      <c r="N12" s="6"/>
    </row>
    <row r="13" ht="30.0" customHeight="1">
      <c r="A13" s="5" t="s">
        <v>930</v>
      </c>
      <c r="B13" s="6" t="s">
        <v>83</v>
      </c>
      <c r="C13" s="6"/>
      <c r="D13" s="6"/>
      <c r="E13" s="6"/>
      <c r="F13" s="6"/>
      <c r="G13" s="93"/>
      <c r="H13" s="93"/>
      <c r="I13" s="93"/>
      <c r="J13" s="93"/>
      <c r="K13" s="6"/>
      <c r="L13" s="6"/>
      <c r="M13" s="6"/>
      <c r="N13" s="6"/>
    </row>
    <row r="14" ht="30.0" customHeight="1">
      <c r="A14" s="5" t="s">
        <v>931</v>
      </c>
      <c r="B14" s="6" t="s">
        <v>932</v>
      </c>
      <c r="C14" s="6"/>
      <c r="D14" s="6"/>
      <c r="E14" s="6"/>
      <c r="F14" s="6"/>
      <c r="G14" s="6"/>
      <c r="H14" s="6"/>
      <c r="I14" s="93"/>
      <c r="J14" s="93"/>
      <c r="K14" s="6"/>
      <c r="L14" s="6"/>
      <c r="M14" s="6"/>
      <c r="N14" s="6"/>
    </row>
    <row r="15" ht="30.0" customHeight="1">
      <c r="A15" s="5" t="s">
        <v>933</v>
      </c>
      <c r="B15" s="6" t="s">
        <v>913</v>
      </c>
      <c r="C15" s="6"/>
      <c r="D15" s="6"/>
      <c r="E15" s="6"/>
      <c r="F15" s="6"/>
      <c r="G15" s="6"/>
      <c r="H15" s="93"/>
      <c r="I15" s="93"/>
      <c r="J15" s="93"/>
      <c r="K15" s="6"/>
      <c r="L15" s="6"/>
      <c r="M15" s="6"/>
      <c r="N15" s="6"/>
    </row>
    <row r="16" ht="30.0" customHeight="1">
      <c r="A16" s="5" t="s">
        <v>934</v>
      </c>
      <c r="B16" s="6" t="s">
        <v>913</v>
      </c>
      <c r="C16" s="6"/>
      <c r="D16" s="6"/>
      <c r="E16" s="6"/>
      <c r="F16" s="6"/>
      <c r="G16" s="6"/>
      <c r="H16" s="6"/>
      <c r="I16" s="6"/>
      <c r="J16" s="6"/>
      <c r="K16" s="93"/>
      <c r="L16" s="93"/>
      <c r="M16" s="93"/>
      <c r="N16" s="93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4.0"/>
    <col customWidth="1" min="2" max="2" width="70.0"/>
    <col customWidth="1" min="3" max="3" width="12.0"/>
    <col customWidth="1" min="4" max="6" width="8.71"/>
  </cols>
  <sheetData>
    <row r="1" ht="18.0" customHeight="1">
      <c r="A1" s="1" t="s">
        <v>989</v>
      </c>
      <c r="B1" s="2"/>
      <c r="C1" s="2"/>
      <c r="D1" s="2"/>
      <c r="E1" s="2"/>
      <c r="F1" s="2"/>
    </row>
    <row r="2" ht="15.0" customHeight="1">
      <c r="A2" s="3" t="s">
        <v>990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 ht="15.0" customHeight="1">
      <c r="A4" s="4" t="s">
        <v>995</v>
      </c>
      <c r="B4" s="4" t="s">
        <v>996</v>
      </c>
      <c r="C4" s="4" t="s">
        <v>997</v>
      </c>
      <c r="D4" s="2"/>
      <c r="E4" s="2"/>
      <c r="F4" s="2"/>
    </row>
    <row r="5" ht="15.0" customHeight="1">
      <c r="A5" s="5" t="s">
        <v>998</v>
      </c>
      <c r="B5" s="6" t="s">
        <v>999</v>
      </c>
      <c r="C5" s="57" t="s">
        <v>871</v>
      </c>
      <c r="D5" s="2"/>
      <c r="E5" s="2"/>
      <c r="F5" s="2"/>
    </row>
    <row r="6" ht="15.0" customHeight="1">
      <c r="A6" s="5" t="s">
        <v>1000</v>
      </c>
      <c r="B6" s="6" t="s">
        <v>1002</v>
      </c>
      <c r="C6" s="57" t="s">
        <v>871</v>
      </c>
      <c r="D6" s="2"/>
      <c r="E6" s="2"/>
      <c r="F6" s="2"/>
    </row>
    <row r="7" ht="15.0" customHeight="1">
      <c r="A7" s="5" t="s">
        <v>1007</v>
      </c>
      <c r="B7" s="6" t="s">
        <v>1008</v>
      </c>
      <c r="C7" s="57" t="s">
        <v>871</v>
      </c>
      <c r="D7" s="2"/>
      <c r="E7" s="2"/>
      <c r="F7" s="2"/>
    </row>
    <row r="8" ht="15.0" customHeight="1">
      <c r="A8" s="5" t="s">
        <v>1012</v>
      </c>
      <c r="B8" s="6" t="s">
        <v>215</v>
      </c>
      <c r="C8" s="57" t="s">
        <v>871</v>
      </c>
      <c r="D8" s="2"/>
      <c r="E8" s="2"/>
      <c r="F8" s="2"/>
    </row>
    <row r="9" ht="15.0" customHeight="1">
      <c r="A9" s="5" t="s">
        <v>1015</v>
      </c>
      <c r="B9" s="6" t="s">
        <v>1016</v>
      </c>
      <c r="C9" s="57" t="s">
        <v>871</v>
      </c>
      <c r="D9" s="2"/>
      <c r="E9" s="2"/>
      <c r="F9" s="2"/>
    </row>
    <row r="10" ht="15.0" customHeight="1">
      <c r="A10" s="5" t="s">
        <v>1021</v>
      </c>
      <c r="B10" s="6" t="s">
        <v>1022</v>
      </c>
      <c r="C10" s="57" t="s">
        <v>871</v>
      </c>
      <c r="D10" s="2"/>
      <c r="E10" s="2"/>
      <c r="F10" s="2"/>
    </row>
    <row r="11" ht="15.0" customHeight="1">
      <c r="A11" s="5" t="s">
        <v>1026</v>
      </c>
      <c r="B11" s="6" t="s">
        <v>1027</v>
      </c>
      <c r="C11" s="57" t="s">
        <v>871</v>
      </c>
      <c r="D11" s="2"/>
      <c r="E11" s="2"/>
      <c r="F11" s="2"/>
    </row>
    <row r="12" ht="15.0" customHeight="1">
      <c r="A12" s="5" t="s">
        <v>1034</v>
      </c>
      <c r="B12" s="6" t="s">
        <v>1035</v>
      </c>
      <c r="C12" s="57" t="s">
        <v>871</v>
      </c>
      <c r="D12" s="2"/>
      <c r="E12" s="2"/>
      <c r="F12" s="2"/>
    </row>
    <row r="13" ht="15.0" customHeight="1">
      <c r="A13" s="5" t="s">
        <v>1039</v>
      </c>
      <c r="B13" s="6" t="s">
        <v>1040</v>
      </c>
      <c r="C13" s="57" t="s">
        <v>871</v>
      </c>
      <c r="D13" s="2"/>
      <c r="E13" s="2"/>
      <c r="F13" s="2"/>
    </row>
    <row r="14" ht="15.0" customHeight="1">
      <c r="A14" s="5" t="s">
        <v>1047</v>
      </c>
      <c r="B14" s="6" t="s">
        <v>1048</v>
      </c>
      <c r="C14" s="57" t="s">
        <v>871</v>
      </c>
      <c r="D14" s="2"/>
      <c r="E14" s="2"/>
      <c r="F14" s="2"/>
    </row>
    <row r="15" ht="15.0" customHeight="1">
      <c r="A15" s="5" t="s">
        <v>1054</v>
      </c>
      <c r="B15" s="6" t="s">
        <v>1055</v>
      </c>
      <c r="C15" s="57" t="s">
        <v>871</v>
      </c>
      <c r="D15" s="2"/>
      <c r="E15" s="2"/>
      <c r="F15" s="2"/>
    </row>
    <row r="16" ht="15.0" customHeight="1">
      <c r="A16" s="5" t="s">
        <v>1060</v>
      </c>
      <c r="B16" s="6" t="s">
        <v>1062</v>
      </c>
      <c r="C16" s="57" t="s">
        <v>871</v>
      </c>
      <c r="D16" s="2"/>
      <c r="E16" s="2"/>
      <c r="F16" s="2"/>
    </row>
    <row r="17" ht="15.0" customHeight="1">
      <c r="A17" s="5" t="s">
        <v>1067</v>
      </c>
      <c r="B17" s="6" t="s">
        <v>215</v>
      </c>
      <c r="C17" s="57" t="s">
        <v>871</v>
      </c>
      <c r="D17" s="2"/>
      <c r="E17" s="2"/>
      <c r="F17" s="2"/>
    </row>
    <row r="18" ht="15.0" customHeight="1">
      <c r="A18" s="5" t="s">
        <v>1072</v>
      </c>
      <c r="B18" s="6" t="s">
        <v>1073</v>
      </c>
      <c r="C18" s="57" t="s">
        <v>871</v>
      </c>
      <c r="D18" s="2"/>
      <c r="E18" s="2"/>
      <c r="F18" s="2"/>
    </row>
    <row r="19" ht="15.0" customHeight="1">
      <c r="A19" s="5" t="s">
        <v>1075</v>
      </c>
      <c r="B19" s="6" t="s">
        <v>1077</v>
      </c>
      <c r="C19" s="57" t="s">
        <v>871</v>
      </c>
      <c r="D19" s="2"/>
      <c r="E19" s="2"/>
      <c r="F19" s="2"/>
    </row>
    <row r="20" ht="15.0" customHeight="1">
      <c r="A20" s="5" t="s">
        <v>1080</v>
      </c>
      <c r="B20" s="6" t="s">
        <v>1081</v>
      </c>
      <c r="C20" s="57" t="s">
        <v>871</v>
      </c>
      <c r="D20" s="2"/>
      <c r="E20" s="2"/>
      <c r="F20" s="2"/>
    </row>
    <row r="21" ht="15.0" customHeight="1">
      <c r="A21" s="5" t="s">
        <v>1087</v>
      </c>
      <c r="B21" s="6" t="s">
        <v>1088</v>
      </c>
      <c r="C21" s="57" t="s">
        <v>871</v>
      </c>
      <c r="D21" s="2"/>
      <c r="E21" s="2"/>
      <c r="F21" s="2"/>
    </row>
    <row r="22" ht="15.0" customHeight="1">
      <c r="A22" s="5" t="s">
        <v>1094</v>
      </c>
      <c r="B22" s="6" t="s">
        <v>1095</v>
      </c>
      <c r="C22" s="57" t="s">
        <v>871</v>
      </c>
      <c r="D22" s="2"/>
      <c r="E22" s="2"/>
      <c r="F22" s="2"/>
    </row>
    <row r="23" ht="15.0" customHeight="1">
      <c r="A23" s="5" t="s">
        <v>1100</v>
      </c>
      <c r="B23" s="6" t="s">
        <v>1101</v>
      </c>
      <c r="C23" s="57" t="s">
        <v>871</v>
      </c>
      <c r="D23" s="2"/>
      <c r="E23" s="2"/>
      <c r="F23" s="2"/>
    </row>
    <row r="24" ht="15.0" customHeight="1">
      <c r="A24" s="5" t="s">
        <v>1104</v>
      </c>
      <c r="B24" s="6" t="s">
        <v>1105</v>
      </c>
      <c r="C24" s="57" t="s">
        <v>871</v>
      </c>
      <c r="D24" s="2"/>
      <c r="E24" s="2"/>
      <c r="F24" s="2"/>
    </row>
    <row r="25" ht="15.0" customHeight="1">
      <c r="A25" s="5" t="s">
        <v>1110</v>
      </c>
      <c r="B25" s="6" t="s">
        <v>1111</v>
      </c>
      <c r="C25" s="57" t="s">
        <v>871</v>
      </c>
      <c r="D25" s="2"/>
      <c r="E25" s="2"/>
      <c r="F25" s="2"/>
    </row>
    <row r="26" ht="15.0" customHeight="1">
      <c r="A26" s="5" t="s">
        <v>1116</v>
      </c>
      <c r="B26" s="6" t="s">
        <v>1117</v>
      </c>
      <c r="C26" s="57" t="s">
        <v>871</v>
      </c>
      <c r="D26" s="2"/>
      <c r="E26" s="2"/>
      <c r="F26" s="2"/>
    </row>
    <row r="27" ht="15.0" customHeight="1">
      <c r="A27" s="5" t="s">
        <v>1121</v>
      </c>
      <c r="B27" s="6" t="s">
        <v>1122</v>
      </c>
      <c r="C27" s="57" t="s">
        <v>871</v>
      </c>
      <c r="D27" s="2"/>
      <c r="E27" s="2"/>
      <c r="F27" s="2"/>
    </row>
    <row r="28" ht="15.0" customHeight="1">
      <c r="A28" s="5" t="s">
        <v>1128</v>
      </c>
      <c r="B28" s="6" t="s">
        <v>1129</v>
      </c>
      <c r="C28" s="57" t="s">
        <v>871</v>
      </c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</hyperlinks>
  <printOptions/>
  <pageMargins bottom="1.0" footer="0.0" header="0.0" left="0.75" right="0.75" top="1.0"/>
  <pageSetup paperSize="9" orientation="portrait"/>
  <drawing r:id="rId2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70.0"/>
    <col customWidth="1" min="3" max="3" width="60.0"/>
    <col customWidth="1" min="4" max="4" width="24.0"/>
    <col customWidth="1" min="5" max="5" width="30.0"/>
    <col customWidth="1" min="6" max="6" width="8.71"/>
  </cols>
  <sheetData>
    <row r="1" ht="18.0" customHeight="1">
      <c r="A1" s="1" t="s">
        <v>1202</v>
      </c>
      <c r="B1" s="2"/>
      <c r="C1" s="2"/>
      <c r="D1" s="2"/>
      <c r="E1" s="2"/>
      <c r="F1" s="2"/>
    </row>
    <row r="2" ht="15.0" customHeight="1">
      <c r="A2" s="3" t="s">
        <v>1203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 ht="15.0" customHeight="1">
      <c r="A4" s="4" t="s">
        <v>1204</v>
      </c>
      <c r="B4" s="4" t="s">
        <v>1205</v>
      </c>
      <c r="C4" s="4" t="s">
        <v>1206</v>
      </c>
      <c r="D4" s="4" t="s">
        <v>1207</v>
      </c>
      <c r="E4" s="4" t="s">
        <v>161</v>
      </c>
      <c r="F4" s="2"/>
    </row>
    <row r="5" ht="48.0" customHeight="1">
      <c r="A5" s="5" t="s">
        <v>1208</v>
      </c>
      <c r="B5" s="6" t="s">
        <v>1209</v>
      </c>
      <c r="C5" s="6" t="s">
        <v>1210</v>
      </c>
      <c r="D5" s="101"/>
      <c r="E5" s="6"/>
      <c r="F5" s="2"/>
    </row>
    <row r="6" ht="48.0" customHeight="1">
      <c r="A6" s="5" t="s">
        <v>1211</v>
      </c>
      <c r="B6" s="6" t="s">
        <v>1212</v>
      </c>
      <c r="C6" s="6" t="s">
        <v>1213</v>
      </c>
      <c r="D6" s="101"/>
      <c r="E6" s="6"/>
      <c r="F6" s="2"/>
    </row>
    <row r="7" ht="48.0" customHeight="1">
      <c r="A7" s="5" t="s">
        <v>1214</v>
      </c>
      <c r="B7" s="6" t="s">
        <v>1215</v>
      </c>
      <c r="C7" s="6" t="s">
        <v>1216</v>
      </c>
      <c r="D7" s="101"/>
      <c r="E7" s="6"/>
      <c r="F7" s="2"/>
    </row>
    <row r="8" ht="48.0" customHeight="1">
      <c r="A8" s="5" t="s">
        <v>1217</v>
      </c>
      <c r="B8" s="6" t="s">
        <v>1218</v>
      </c>
      <c r="C8" s="6" t="s">
        <v>1219</v>
      </c>
      <c r="D8" s="101"/>
      <c r="E8" s="6"/>
      <c r="F8" s="2"/>
    </row>
    <row r="9" ht="48.0" customHeight="1">
      <c r="A9" s="5" t="s">
        <v>1220</v>
      </c>
      <c r="B9" s="6" t="s">
        <v>1221</v>
      </c>
      <c r="C9" s="6" t="s">
        <v>1222</v>
      </c>
      <c r="D9" s="101"/>
      <c r="E9" s="6"/>
      <c r="F9" s="2"/>
    </row>
    <row r="10" ht="48.0" customHeight="1">
      <c r="A10" s="5" t="s">
        <v>1223</v>
      </c>
      <c r="B10" s="6" t="s">
        <v>1224</v>
      </c>
      <c r="C10" s="6" t="s">
        <v>1225</v>
      </c>
      <c r="D10" s="101"/>
      <c r="E10" s="6"/>
      <c r="F10" s="2"/>
    </row>
    <row r="11" ht="48.0" customHeight="1">
      <c r="A11" s="5" t="s">
        <v>1226</v>
      </c>
      <c r="B11" s="6" t="s">
        <v>1227</v>
      </c>
      <c r="C11" s="6" t="s">
        <v>1228</v>
      </c>
      <c r="D11" s="101"/>
      <c r="E11" s="6"/>
      <c r="F11" s="2"/>
    </row>
    <row r="12" ht="48.0" customHeight="1">
      <c r="A12" s="5" t="s">
        <v>1229</v>
      </c>
      <c r="B12" s="6" t="s">
        <v>1230</v>
      </c>
      <c r="C12" s="6" t="s">
        <v>1231</v>
      </c>
      <c r="D12" s="101"/>
      <c r="E12" s="6"/>
      <c r="F12" s="2"/>
    </row>
    <row r="13" ht="48.0" customHeight="1">
      <c r="A13" s="5" t="s">
        <v>1232</v>
      </c>
      <c r="B13" s="6" t="s">
        <v>1233</v>
      </c>
      <c r="C13" s="6" t="s">
        <v>1234</v>
      </c>
      <c r="D13" s="101"/>
      <c r="E13" s="6"/>
      <c r="F13" s="2"/>
    </row>
    <row r="14" ht="48.0" customHeight="1">
      <c r="A14" s="5" t="s">
        <v>1235</v>
      </c>
      <c r="B14" s="6" t="s">
        <v>1236</v>
      </c>
      <c r="C14" s="6" t="s">
        <v>1237</v>
      </c>
      <c r="D14" s="101"/>
      <c r="E14" s="6"/>
      <c r="F14" s="2"/>
    </row>
    <row r="15" ht="48.0" customHeight="1">
      <c r="A15" s="5" t="s">
        <v>1238</v>
      </c>
      <c r="B15" s="6" t="s">
        <v>1239</v>
      </c>
      <c r="C15" s="6" t="s">
        <v>1240</v>
      </c>
      <c r="D15" s="101"/>
      <c r="E15" s="6"/>
      <c r="F15" s="2"/>
    </row>
    <row r="16" ht="48.0" customHeight="1">
      <c r="A16" s="5" t="s">
        <v>1241</v>
      </c>
      <c r="B16" s="6" t="s">
        <v>1242</v>
      </c>
      <c r="C16" s="6" t="s">
        <v>1240</v>
      </c>
      <c r="D16" s="101"/>
      <c r="E16" s="6"/>
      <c r="F16" s="2"/>
    </row>
    <row r="17" ht="48.0" customHeight="1">
      <c r="A17" s="5" t="s">
        <v>1243</v>
      </c>
      <c r="B17" s="6" t="s">
        <v>1244</v>
      </c>
      <c r="C17" s="6" t="s">
        <v>1245</v>
      </c>
      <c r="D17" s="101"/>
      <c r="E17" s="6"/>
      <c r="F17" s="2"/>
    </row>
    <row r="18" ht="48.0" customHeight="1">
      <c r="A18" s="5" t="s">
        <v>1246</v>
      </c>
      <c r="B18" s="6" t="s">
        <v>1247</v>
      </c>
      <c r="C18" s="6" t="s">
        <v>1248</v>
      </c>
      <c r="D18" s="101"/>
      <c r="E18" s="6"/>
      <c r="F18" s="2"/>
    </row>
    <row r="19" ht="48.0" customHeight="1">
      <c r="A19" s="5" t="s">
        <v>1249</v>
      </c>
      <c r="B19" s="6" t="s">
        <v>1250</v>
      </c>
      <c r="C19" s="6" t="s">
        <v>1251</v>
      </c>
      <c r="D19" s="101"/>
      <c r="E19" s="6"/>
      <c r="F19" s="2"/>
    </row>
    <row r="20" ht="48.0" customHeight="1">
      <c r="A20" s="5" t="s">
        <v>1252</v>
      </c>
      <c r="B20" s="6" t="s">
        <v>1253</v>
      </c>
      <c r="C20" s="6" t="s">
        <v>1254</v>
      </c>
      <c r="D20" s="101"/>
      <c r="E20" s="6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2" t="s">
        <v>1255</v>
      </c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paperSize="9" orientation="portrait"/>
  <drawing r:id="rId1"/>
</worksheet>
</file>