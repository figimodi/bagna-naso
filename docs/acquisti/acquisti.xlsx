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i" sheetId="1" state="visible" r:id="rId1"/>
    <sheet name="Sanificazione" sheetId="2" state="visible" r:id="rId2"/>
    <sheet name="Attrezzatura" sheetId="3" state="visible" r:id="rId3"/>
    <sheet name="Riepilogo" sheetId="4" state="visible" r:id="rId4"/>
  </sheets>
  <definedNames>
    <definedName name="_xlnm._FilterDatabase" localSheetId="0" hidden="1">'Ingredienti'!$A$1:$C$20</definedName>
    <definedName name="_xlnm._FilterDatabase" localSheetId="1" hidden="1">'Sanificazione'!$A$1:$C$7</definedName>
    <definedName name="_xlnm._FilterDatabase" localSheetId="2" hidden="1">'Attrezzatura'!$A$1:$C$35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7A3E12"/>
      </patternFill>
    </fill>
  </fills>
  <borders count="2">
    <border>
      <left/>
      <right/>
      <top/>
      <bottom/>
      <diagonal/>
    </border>
    <border>
      <top style="thin">
        <color rgb="00999999"/>
      </top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164" fontId="3" fillId="0" borderId="1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5" customWidth="1" min="3" max="3"/>
  </cols>
  <sheetData>
    <row r="1">
      <c r="A1" s="1" t="inlineStr">
        <is>
          <t>Articolo</t>
        </is>
      </c>
      <c r="B1" s="1" t="inlineStr">
        <is>
          <t>Venditore</t>
        </is>
      </c>
      <c r="C1" s="1" t="inlineStr">
        <is>
          <t>Importo [€]</t>
        </is>
      </c>
    </row>
    <row r="2">
      <c r="A2" t="inlineStr">
        <is>
          <t>Malto Ireks Pilsner 5 kg (×2)</t>
        </is>
      </c>
      <c r="B2" t="inlineStr">
        <is>
          <t>Pinta</t>
        </is>
      </c>
      <c r="C2" s="2" t="n">
        <v>19</v>
      </c>
    </row>
    <row r="3">
      <c r="A3" t="inlineStr">
        <is>
          <t>Malto Château Pilsner 5 kg</t>
        </is>
      </c>
      <c r="B3" t="inlineStr">
        <is>
          <t>Pinta</t>
        </is>
      </c>
      <c r="C3" s="2" t="n">
        <v>9</v>
      </c>
    </row>
    <row r="4">
      <c r="A4" t="inlineStr">
        <is>
          <t>Malto Château Wheat Blanc 5 kg</t>
        </is>
      </c>
      <c r="B4" t="inlineStr">
        <is>
          <t>Pinta</t>
        </is>
      </c>
      <c r="C4" s="2" t="n">
        <v>9</v>
      </c>
    </row>
    <row r="5">
      <c r="A5" t="inlineStr">
        <is>
          <t>Frumento non maltato (Torrified Wheat) 5 kg</t>
        </is>
      </c>
      <c r="B5" t="inlineStr">
        <is>
          <t>Pinta</t>
        </is>
      </c>
      <c r="C5" s="2" t="n">
        <v>10.4</v>
      </c>
    </row>
    <row r="6">
      <c r="A6" t="inlineStr">
        <is>
          <t>Fiocchi d'avena 1 kg</t>
        </is>
      </c>
      <c r="B6" t="inlineStr">
        <is>
          <t>Pinta</t>
        </is>
      </c>
      <c r="C6" s="2" t="n">
        <v>2.8</v>
      </c>
    </row>
    <row r="7">
      <c r="A7" t="inlineStr">
        <is>
          <t>Luppolo Hersbrucker pellet 100 g</t>
        </is>
      </c>
      <c r="B7" t="inlineStr">
        <is>
          <t>Pinta</t>
        </is>
      </c>
      <c r="C7" s="2" t="n">
        <v>4.2</v>
      </c>
    </row>
    <row r="8">
      <c r="A8" t="inlineStr">
        <is>
          <t>Luppolo Tettnang pellet 100 g</t>
        </is>
      </c>
      <c r="B8" t="inlineStr">
        <is>
          <t>Pinta</t>
        </is>
      </c>
      <c r="C8" s="2" t="n">
        <v>4.5</v>
      </c>
    </row>
    <row r="9">
      <c r="A9" t="inlineStr">
        <is>
          <t>Luppolo Bobek pellet 100 g</t>
        </is>
      </c>
      <c r="B9" t="inlineStr">
        <is>
          <t>Pinta</t>
        </is>
      </c>
      <c r="C9" s="2" t="n">
        <v>4</v>
      </c>
    </row>
    <row r="10">
      <c r="A10" t="inlineStr">
        <is>
          <t>Luppolo Saaz pellet 100 g</t>
        </is>
      </c>
      <c r="B10" t="inlineStr">
        <is>
          <t>Pinta</t>
        </is>
      </c>
      <c r="C10" s="2" t="n">
        <v>4.9</v>
      </c>
    </row>
    <row r="11">
      <c r="A11" t="inlineStr">
        <is>
          <t>Lievito Lallemand Nottingham Ale 11 g</t>
        </is>
      </c>
      <c r="B11" t="inlineStr">
        <is>
          <t>Pinta</t>
        </is>
      </c>
      <c r="C11" s="2" t="n">
        <v>4.3</v>
      </c>
    </row>
    <row r="12">
      <c r="A12" t="inlineStr">
        <is>
          <t>Lievito Mangrove Jack's Belgian Wit M21 10 g</t>
        </is>
      </c>
      <c r="B12" t="inlineStr">
        <is>
          <t>Pinta</t>
        </is>
      </c>
      <c r="C12" s="2" t="n">
        <v>3.4</v>
      </c>
    </row>
    <row r="13">
      <c r="A13" t="inlineStr">
        <is>
          <t>Coriandolo in semi 100 g</t>
        </is>
      </c>
      <c r="B13" t="inlineStr">
        <is>
          <t>Pinta</t>
        </is>
      </c>
      <c r="C13" s="2" t="n">
        <v>2.7</v>
      </c>
    </row>
    <row r="14">
      <c r="A14" t="inlineStr">
        <is>
          <t>Bucce d'arancia amara essiccate 100 g</t>
        </is>
      </c>
      <c r="B14" t="inlineStr">
        <is>
          <t>Pinta</t>
        </is>
      </c>
      <c r="C14" s="2" t="n">
        <v>2.9</v>
      </c>
    </row>
    <row r="15">
      <c r="A15" t="inlineStr">
        <is>
          <t>Macinatura sacco 25 kg</t>
        </is>
      </c>
      <c r="B15" t="inlineStr">
        <is>
          <t>Pinta</t>
        </is>
      </c>
      <c r="C15" s="2" t="n">
        <v>10.9</v>
      </c>
    </row>
    <row r="16">
      <c r="A16" t="inlineStr">
        <is>
          <t>Acido fosforico 75% 1 L</t>
        </is>
      </c>
      <c r="B16" t="inlineStr">
        <is>
          <t>Mr Malt</t>
        </is>
      </c>
      <c r="C16" s="2" t="n">
        <v>32.95</v>
      </c>
    </row>
    <row r="17">
      <c r="A17" t="inlineStr">
        <is>
          <t>Vodka Polar 37,5%</t>
        </is>
      </c>
      <c r="B17" t="inlineStr">
        <is>
          <t>Unes</t>
        </is>
      </c>
      <c r="C17" s="2" t="n">
        <v>6</v>
      </c>
    </row>
    <row r="18">
      <c r="A18" t="inlineStr">
        <is>
          <t>Zucchero saccarosio 1 kg</t>
        </is>
      </c>
      <c r="B18" t="inlineStr">
        <is>
          <t>Unes</t>
        </is>
      </c>
      <c r="C18" s="2" t="n">
        <v>1.4</v>
      </c>
    </row>
    <row r="19">
      <c r="A19" t="inlineStr">
        <is>
          <t>Acqua Rocchetta (×4)</t>
        </is>
      </c>
      <c r="B19" t="inlineStr">
        <is>
          <t>Unes</t>
        </is>
      </c>
      <c r="C19" s="2" t="n">
        <v>14.4</v>
      </c>
    </row>
    <row r="20">
      <c r="A20" t="inlineStr">
        <is>
          <t>Acqua Lauretana (×4)</t>
        </is>
      </c>
      <c r="B20" t="inlineStr">
        <is>
          <t>Unes</t>
        </is>
      </c>
      <c r="C20" s="2" t="n">
        <v>14</v>
      </c>
    </row>
    <row r="21">
      <c r="A21" s="3" t="inlineStr">
        <is>
          <t>Totale</t>
        </is>
      </c>
      <c r="B21" s="4" t="n"/>
      <c r="C21" s="5">
        <f>SUM(C2:C20)</f>
        <v/>
      </c>
    </row>
  </sheetData>
  <autoFilter ref="A1:C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5" customWidth="1" min="3" max="3"/>
  </cols>
  <sheetData>
    <row r="1">
      <c r="A1" s="1" t="inlineStr">
        <is>
          <t>Articolo</t>
        </is>
      </c>
      <c r="B1" s="1" t="inlineStr">
        <is>
          <t>Venditore</t>
        </is>
      </c>
      <c r="C1" s="1" t="inlineStr">
        <is>
          <t>Importo [€]</t>
        </is>
      </c>
    </row>
    <row r="2">
      <c r="A2" t="inlineStr">
        <is>
          <t>SaniClean 946 ml</t>
        </is>
      </c>
      <c r="B2" t="inlineStr">
        <is>
          <t>Mr Malt</t>
        </is>
      </c>
      <c r="C2" s="2" t="n">
        <v>28.5</v>
      </c>
    </row>
    <row r="3">
      <c r="A3" t="inlineStr">
        <is>
          <t>Chemipro Wash 500 g</t>
        </is>
      </c>
      <c r="B3" t="inlineStr">
        <is>
          <t>Mr Malt</t>
        </is>
      </c>
      <c r="C3" s="2" t="n">
        <v>14.36</v>
      </c>
    </row>
    <row r="4">
      <c r="A4" t="inlineStr">
        <is>
          <t>Chemipro Wash 500 g</t>
        </is>
      </c>
      <c r="B4" t="inlineStr">
        <is>
          <t>Beerwine</t>
        </is>
      </c>
      <c r="C4" s="2" t="n">
        <v>15.6</v>
      </c>
    </row>
    <row r="5">
      <c r="A5" t="inlineStr">
        <is>
          <t>Isofaster 750 ml</t>
        </is>
      </c>
      <c r="B5" t="inlineStr">
        <is>
          <t>Mr Malt</t>
        </is>
      </c>
      <c r="C5" s="2" t="n">
        <v>8.699999999999999</v>
      </c>
    </row>
    <row r="6">
      <c r="A6" t="inlineStr">
        <is>
          <t>Guanti usa e getta</t>
        </is>
      </c>
      <c r="B6" t="inlineStr">
        <is>
          <t>MD</t>
        </is>
      </c>
      <c r="C6" s="2" t="n">
        <v>4</v>
      </c>
    </row>
    <row r="7">
      <c r="A7" t="inlineStr">
        <is>
          <t>Guanti non usa e getta (×2)</t>
        </is>
      </c>
      <c r="B7" t="inlineStr">
        <is>
          <t>Unes</t>
        </is>
      </c>
      <c r="C7" s="2" t="n">
        <v>10</v>
      </c>
    </row>
    <row r="8">
      <c r="A8" s="3" t="inlineStr">
        <is>
          <t>Totale</t>
        </is>
      </c>
      <c r="B8" s="4" t="n"/>
      <c r="C8" s="5">
        <f>SUM(C2:C7)</f>
        <v/>
      </c>
    </row>
  </sheetData>
  <autoFilter ref="A1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6" customWidth="1" min="2" max="2"/>
    <col width="15" customWidth="1" min="3" max="3"/>
  </cols>
  <sheetData>
    <row r="1">
      <c r="A1" s="1" t="inlineStr">
        <is>
          <t>Articolo</t>
        </is>
      </c>
      <c r="B1" s="1" t="inlineStr">
        <is>
          <t>Venditore</t>
        </is>
      </c>
      <c r="C1" s="1" t="inlineStr">
        <is>
          <t>Importo [€]</t>
        </is>
      </c>
    </row>
    <row r="2">
      <c r="A2" t="inlineStr">
        <is>
          <t>Impianto Vevor AIO 30 L</t>
        </is>
      </c>
      <c r="B2" t="inlineStr">
        <is>
          <t>Vevor.it</t>
        </is>
      </c>
      <c r="C2" s="2" t="n">
        <v>263.9</v>
      </c>
    </row>
    <row r="3">
      <c r="A3" t="inlineStr">
        <is>
          <t>Freezer a pozzetto</t>
        </is>
      </c>
      <c r="B3" t="inlineStr">
        <is>
          <t>Metro</t>
        </is>
      </c>
      <c r="C3" s="2" t="n">
        <v>165.92</v>
      </c>
    </row>
    <row r="4">
      <c r="A4" t="inlineStr">
        <is>
          <t>Bollitore elettrico 27 L</t>
        </is>
      </c>
      <c r="B4" t="inlineStr">
        <is>
          <t>GMM Gastro</t>
        </is>
      </c>
      <c r="C4" s="2" t="n">
        <v>83.29000000000001</v>
      </c>
    </row>
    <row r="5">
      <c r="A5" t="inlineStr">
        <is>
          <t>Termostato digitale doppio relè (NKbird ITC-308)</t>
        </is>
      </c>
      <c r="B5" t="inlineStr">
        <is>
          <t>Amazon</t>
        </is>
      </c>
      <c r="C5" s="2" t="n">
        <v>40</v>
      </c>
    </row>
    <row r="6">
      <c r="A6" t="inlineStr">
        <is>
          <t>Cavo riscaldante 50 W, 6 m, con sonda</t>
        </is>
      </c>
      <c r="B6" t="inlineStr">
        <is>
          <t>Amazon</t>
        </is>
      </c>
      <c r="C6" s="2" t="n">
        <v>23.5</v>
      </c>
    </row>
    <row r="7">
      <c r="A7" t="inlineStr">
        <is>
          <t>Pentola elettrica multifunzione 1,5 L</t>
        </is>
      </c>
      <c r="B7" t="inlineStr">
        <is>
          <t>Amazon</t>
        </is>
      </c>
      <c r="C7" s="2" t="n">
        <v>25</v>
      </c>
    </row>
    <row r="8">
      <c r="A8" t="inlineStr">
        <is>
          <t>Nastro PTFE 12 mm × 13 m, 2 rotoli</t>
        </is>
      </c>
      <c r="B8" t="inlineStr">
        <is>
          <t>Amazon</t>
        </is>
      </c>
      <c r="C8" s="2" t="n">
        <v>7</v>
      </c>
    </row>
    <row r="9">
      <c r="A9" t="inlineStr">
        <is>
          <t>Set di 4 imbuti</t>
        </is>
      </c>
      <c r="B9" t="inlineStr">
        <is>
          <t>Amazon</t>
        </is>
      </c>
      <c r="C9" s="2" t="n">
        <v>6.5</v>
      </c>
    </row>
    <row r="10">
      <c r="A10" t="inlineStr">
        <is>
          <t>Fermentatore 50 L completo</t>
        </is>
      </c>
      <c r="B10" t="inlineStr">
        <is>
          <t>Beerwine</t>
        </is>
      </c>
      <c r="C10" s="2" t="n">
        <v>38</v>
      </c>
    </row>
    <row r="11">
      <c r="A11" t="inlineStr">
        <is>
          <t>Fermentatore 3 pezzi con galleggiante (×4)</t>
        </is>
      </c>
      <c r="B11" t="inlineStr">
        <is>
          <t>Beerwine</t>
        </is>
      </c>
      <c r="C11" s="2" t="n">
        <v>11.6</v>
      </c>
    </row>
    <row r="12">
      <c r="A12" t="inlineStr">
        <is>
          <t>Densimetro con termometro</t>
        </is>
      </c>
      <c r="B12" t="inlineStr">
        <is>
          <t>Beerwine</t>
        </is>
      </c>
      <c r="C12" s="2" t="n">
        <v>14.9</v>
      </c>
    </row>
    <row r="13">
      <c r="A13" t="inlineStr">
        <is>
          <t>Fermentatore in plastica 10 L</t>
        </is>
      </c>
      <c r="B13" t="inlineStr">
        <is>
          <t>Polsinelli</t>
        </is>
      </c>
      <c r="C13" s="2" t="n">
        <v>17.5</v>
      </c>
    </row>
    <row r="14">
      <c r="A14" t="inlineStr">
        <is>
          <t>Fermentatore in plastica 5 L (×2)</t>
        </is>
      </c>
      <c r="B14" t="inlineStr">
        <is>
          <t>Polsinelli</t>
        </is>
      </c>
      <c r="C14" s="2" t="n">
        <v>32.4</v>
      </c>
    </row>
    <row r="15">
      <c r="A15" t="inlineStr">
        <is>
          <t>Spedizione Polsinelli</t>
        </is>
      </c>
      <c r="B15" t="inlineStr">
        <is>
          <t>Polsinelli</t>
        </is>
      </c>
      <c r="C15" s="2" t="n">
        <v>14.9</v>
      </c>
    </row>
    <row r="16">
      <c r="A16" t="inlineStr">
        <is>
          <t>Sifone completo maxi</t>
        </is>
      </c>
      <c r="B16" t="inlineStr">
        <is>
          <t>Mr Malt</t>
        </is>
      </c>
      <c r="C16" s="2" t="n">
        <v>12.27</v>
      </c>
    </row>
    <row r="17">
      <c r="A17" t="inlineStr">
        <is>
          <t>Spedizione sifone</t>
        </is>
      </c>
      <c r="B17" t="inlineStr">
        <is>
          <t>Mr Malt</t>
        </is>
      </c>
      <c r="C17" s="2" t="n">
        <v>12.5</v>
      </c>
    </row>
    <row r="18">
      <c r="A18" t="inlineStr">
        <is>
          <t>Spedizione ordine consumabili</t>
        </is>
      </c>
      <c r="B18" t="inlineStr">
        <is>
          <t>Mr Malt</t>
        </is>
      </c>
      <c r="C18" s="2" t="n">
        <v>12.5</v>
      </c>
    </row>
    <row r="19">
      <c r="A19" t="inlineStr">
        <is>
          <t>Scolabottiglie 81 posti</t>
        </is>
      </c>
      <c r="B19" t="inlineStr">
        <is>
          <t>Mr Malt</t>
        </is>
      </c>
      <c r="C19" s="2" t="n">
        <v>15.47</v>
      </c>
    </row>
    <row r="20">
      <c r="A20" t="inlineStr">
        <is>
          <t>Sessola bianca per alimenti 34 cm</t>
        </is>
      </c>
      <c r="B20" t="inlineStr">
        <is>
          <t>Mr Malt</t>
        </is>
      </c>
      <c r="C20" s="2" t="n">
        <v>2.66</v>
      </c>
    </row>
    <row r="21">
      <c r="A21" t="inlineStr">
        <is>
          <t>Bottiglia a spruzzetta 500 ml</t>
        </is>
      </c>
      <c r="B21" t="inlineStr">
        <is>
          <t>Mr Malt</t>
        </is>
      </c>
      <c r="C21" s="2" t="n">
        <v>9.630000000000001</v>
      </c>
    </row>
    <row r="22">
      <c r="A22" t="inlineStr">
        <is>
          <t>Tappi corona bianchi 26 mm, 100 pz</t>
        </is>
      </c>
      <c r="B22" t="inlineStr">
        <is>
          <t>Mr Malt</t>
        </is>
      </c>
      <c r="C22" s="2" t="n">
        <v>2.86</v>
      </c>
    </row>
    <row r="23">
      <c r="A23" t="inlineStr">
        <is>
          <t>Tappi corona neri 26 mm, 100 pz</t>
        </is>
      </c>
      <c r="B23" t="inlineStr">
        <is>
          <t>Mr Malt</t>
        </is>
      </c>
      <c r="C23" s="2" t="n">
        <v>2.86</v>
      </c>
    </row>
    <row r="24">
      <c r="A24" t="inlineStr">
        <is>
          <t>Tintura di iodio</t>
        </is>
      </c>
      <c r="B24" t="inlineStr">
        <is>
          <t>Mr Malt</t>
        </is>
      </c>
      <c r="C24" s="2" t="n">
        <v>7.45</v>
      </c>
    </row>
    <row r="25">
      <c r="A25" t="inlineStr">
        <is>
          <t>Siringhe</t>
        </is>
      </c>
      <c r="B25" t="inlineStr">
        <is>
          <t>MD</t>
        </is>
      </c>
      <c r="C25" s="2" t="n">
        <v>2</v>
      </c>
    </row>
    <row r="26">
      <c r="A26" t="inlineStr">
        <is>
          <t>Igrometro-termometro Bluetooth con sonda</t>
        </is>
      </c>
      <c r="B26" t="inlineStr">
        <is>
          <t>Amazon</t>
        </is>
      </c>
      <c r="C26" s="2" t="n">
        <v>28</v>
      </c>
    </row>
    <row r="27">
      <c r="A27" t="inlineStr">
        <is>
          <t>Termometro da cucina con sonda</t>
        </is>
      </c>
      <c r="B27" t="inlineStr">
        <is>
          <t>Amazon</t>
        </is>
      </c>
      <c r="C27" s="2" t="n">
        <v>17</v>
      </c>
    </row>
    <row r="28">
      <c r="A28" t="inlineStr">
        <is>
          <t>Bilancia da cucina 15 kg, precisione 1 g</t>
        </is>
      </c>
      <c r="B28" t="inlineStr">
        <is>
          <t>Amazon</t>
        </is>
      </c>
      <c r="C28" s="2" t="n">
        <v>12</v>
      </c>
    </row>
    <row r="29">
      <c r="A29" t="inlineStr">
        <is>
          <t>Cartine tornasole</t>
        </is>
      </c>
      <c r="B29" t="inlineStr">
        <is>
          <t>Farmacia</t>
        </is>
      </c>
      <c r="C29" s="2" t="n">
        <v>30</v>
      </c>
    </row>
    <row r="30">
      <c r="A30" t="inlineStr">
        <is>
          <t>Secchiello</t>
        </is>
      </c>
      <c r="B30" t="inlineStr">
        <is>
          <t>Fai da te</t>
        </is>
      </c>
      <c r="C30" s="2" t="n">
        <v>10</v>
      </c>
    </row>
    <row r="31">
      <c r="A31" t="inlineStr">
        <is>
          <t>Bidone 25 L</t>
        </is>
      </c>
      <c r="B31" t="inlineStr">
        <is>
          <t>Fai da te</t>
        </is>
      </c>
      <c r="C31" s="2" t="n">
        <v>15</v>
      </c>
    </row>
    <row r="32">
      <c r="A32" t="inlineStr">
        <is>
          <t>Bacinella</t>
        </is>
      </c>
      <c r="B32" t="inlineStr">
        <is>
          <t>Fai da te</t>
        </is>
      </c>
      <c r="C32" s="2" t="n">
        <v>25</v>
      </c>
    </row>
    <row r="33">
      <c r="A33" t="inlineStr">
        <is>
          <t>Innaffiatoio</t>
        </is>
      </c>
      <c r="B33" t="inlineStr">
        <is>
          <t>Fai da te</t>
        </is>
      </c>
      <c r="C33" s="2" t="n">
        <v>15</v>
      </c>
    </row>
    <row r="34">
      <c r="A34" t="inlineStr">
        <is>
          <t>Attacchi rapidi, rubinetto irrigazione, pompaggio chiller</t>
        </is>
      </c>
      <c r="B34" t="inlineStr">
        <is>
          <t>Fai da te</t>
        </is>
      </c>
      <c r="C34" s="2" t="n">
        <v>20</v>
      </c>
    </row>
    <row r="35">
      <c r="A35" t="inlineStr">
        <is>
          <t>Cassetta per birre (2 pezzi)</t>
        </is>
      </c>
      <c r="B35" t="inlineStr">
        <is>
          <t>Fai da te</t>
        </is>
      </c>
      <c r="C35" s="2" t="n">
        <v>20</v>
      </c>
    </row>
    <row r="36">
      <c r="A36" s="3" t="inlineStr">
        <is>
          <t>Totale</t>
        </is>
      </c>
      <c r="B36" s="4" t="n"/>
      <c r="C36" s="5">
        <f>SUM(C2:C35)</f>
        <v/>
      </c>
    </row>
  </sheetData>
  <autoFilter ref="A1:C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6" t="inlineStr">
        <is>
          <t>Acquisti — Bagna Naso</t>
        </is>
      </c>
    </row>
    <row r="3">
      <c r="A3" s="7" t="inlineStr">
        <is>
          <t>Categoria</t>
        </is>
      </c>
      <c r="B3" s="7" t="inlineStr">
        <is>
          <t>Totale</t>
        </is>
      </c>
    </row>
    <row r="4">
      <c r="A4" t="inlineStr">
        <is>
          <t>Ingredienti</t>
        </is>
      </c>
      <c r="B4" s="2">
        <f>'Ingredienti'!C21</f>
        <v/>
      </c>
    </row>
    <row r="5">
      <c r="A5" t="inlineStr">
        <is>
          <t>Sanificazione</t>
        </is>
      </c>
      <c r="B5" s="2">
        <f>'Sanificazione'!C8</f>
        <v/>
      </c>
    </row>
    <row r="6">
      <c r="A6" t="inlineStr">
        <is>
          <t>Attrezzatura</t>
        </is>
      </c>
      <c r="B6" s="2">
        <f>'Attrezzatura'!C36</f>
        <v/>
      </c>
    </row>
    <row r="7">
      <c r="A7" s="8" t="inlineStr">
        <is>
          <t>Totale acquisti</t>
        </is>
      </c>
      <c r="B7" s="9">
        <f>SUM(B4:B6)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2026-10-12T10:38:43Z</dcterms:created>
  <dcterms:modified xsi:type="dcterms:W3CDTF">2026-10-12T10:38:43Z</dcterms:modified>
</cp:coreProperties>
</file>